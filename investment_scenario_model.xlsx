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d57eeaa15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data" sheetId="1" r:id="R22298dd1b62d498f"/>
    <x:sheet xmlns:r="http://schemas.openxmlformats.org/officeDocument/2006/relationships" name="Scenario model" sheetId="2" r:id="R81b4f84e003a4244"/>
    <x:sheet xmlns:r="http://schemas.openxmlformats.org/officeDocument/2006/relationships" name="Method and sources" sheetId="3" r:id="R0eb954f01930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9b3b2402f45d9" /><Relationship Type="http://schemas.openxmlformats.org/officeDocument/2006/relationships/theme" Target="/xl/theme/theme1.xml" Id="Rda2a966d07d6475d" /><Relationship Type="http://schemas.openxmlformats.org/officeDocument/2006/relationships/sharedStrings" Target="/xl/sharedStrings.xml" Id="Rab676a16b83f4fd5" /><Relationship Type="http://schemas.openxmlformats.org/officeDocument/2006/relationships/worksheet" Target="/xl/worksheets/sheet1.xml" Id="R22298dd1b62d498f" /><Relationship Type="http://schemas.openxmlformats.org/officeDocument/2006/relationships/worksheet" Target="/xl/worksheets/sheet2.xml" Id="R81b4f84e003a4244" /><Relationship Type="http://schemas.openxmlformats.org/officeDocument/2006/relationships/worksheet" Target="/xl/worksheets/sheet3.xml" Id="R0eb954f019304f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>
      <x:c r="A1" s="3" t="str">
        <x:v>Firm</x:v>
      </x:c>
      <x:c r="B1" s="3" t="str">
        <x:v>Year</x:v>
      </x:c>
      <x:c r="C1" s="3" t="str">
        <x:v>Investment</x:v>
      </x:c>
      <x:c r="D1" s="3" t="str">
        <x:v>Market value</x:v>
      </x:c>
      <x:c r="E1" s="3" t="str">
        <x:v>Capital stock</x:v>
      </x:c>
    </x:row>
    <x:row r="2">
      <x:c r="A2" t="str">
        <x:v>General Motors</x:v>
      </x:c>
      <x:c r="B2" t="n">
        <x:v>1935</x:v>
      </x:c>
      <x:c r="C2" t="n">
        <x:v>317.6</x:v>
      </x:c>
      <x:c r="D2" t="n">
        <x:v>3078.5</x:v>
      </x:c>
      <x:c r="E2" t="n">
        <x:v>2.8</x:v>
      </x:c>
    </x:row>
    <x:row r="3">
      <x:c r="A3" t="str">
        <x:v>General Motors</x:v>
      </x:c>
      <x:c r="B3" t="n">
        <x:v>1936</x:v>
      </x:c>
      <x:c r="C3" t="n">
        <x:v>391.8</x:v>
      </x:c>
      <x:c r="D3" t="n">
        <x:v>4661.7</x:v>
      </x:c>
      <x:c r="E3" t="n">
        <x:v>52.6</x:v>
      </x:c>
    </x:row>
    <x:row r="4">
      <x:c r="A4" t="str">
        <x:v>General Motors</x:v>
      </x:c>
      <x:c r="B4" t="n">
        <x:v>1937</x:v>
      </x:c>
      <x:c r="C4" t="n">
        <x:v>410.6</x:v>
      </x:c>
      <x:c r="D4" t="n">
        <x:v>5387.1</x:v>
      </x:c>
      <x:c r="E4" t="n">
        <x:v>156.9</x:v>
      </x:c>
    </x:row>
    <x:row r="5">
      <x:c r="A5" t="str">
        <x:v>General Motors</x:v>
      </x:c>
      <x:c r="B5" t="n">
        <x:v>1938</x:v>
      </x:c>
      <x:c r="C5" t="n">
        <x:v>257.7</x:v>
      </x:c>
      <x:c r="D5" t="n">
        <x:v>2792.2</x:v>
      </x:c>
      <x:c r="E5" t="n">
        <x:v>209.2</x:v>
      </x:c>
    </x:row>
    <x:row r="6">
      <x:c r="A6" t="str">
        <x:v>General Motors</x:v>
      </x:c>
      <x:c r="B6" t="n">
        <x:v>1939</x:v>
      </x:c>
      <x:c r="C6" t="n">
        <x:v>330.8</x:v>
      </x:c>
      <x:c r="D6" t="n">
        <x:v>4313.2</x:v>
      </x:c>
      <x:c r="E6" t="n">
        <x:v>203.4</x:v>
      </x:c>
    </x:row>
    <x:row r="7">
      <x:c r="A7" t="str">
        <x:v>General Motors</x:v>
      </x:c>
      <x:c r="B7" t="n">
        <x:v>1940</x:v>
      </x:c>
      <x:c r="C7" t="n">
        <x:v>461.2</x:v>
      </x:c>
      <x:c r="D7" t="n">
        <x:v>4643.9</x:v>
      </x:c>
      <x:c r="E7" t="n">
        <x:v>207.2</x:v>
      </x:c>
    </x:row>
    <x:row r="8">
      <x:c r="A8" t="str">
        <x:v>General Motors</x:v>
      </x:c>
      <x:c r="B8" t="n">
        <x:v>1941</x:v>
      </x:c>
      <x:c r="C8" t="n">
        <x:v>512</x:v>
      </x:c>
      <x:c r="D8" t="n">
        <x:v>4551.2</x:v>
      </x:c>
      <x:c r="E8" t="n">
        <x:v>255.2</x:v>
      </x:c>
    </x:row>
    <x:row r="9">
      <x:c r="A9" t="str">
        <x:v>General Motors</x:v>
      </x:c>
      <x:c r="B9" t="n">
        <x:v>1942</x:v>
      </x:c>
      <x:c r="C9" t="n">
        <x:v>448</x:v>
      </x:c>
      <x:c r="D9" t="n">
        <x:v>3244.1</x:v>
      </x:c>
      <x:c r="E9" t="n">
        <x:v>303.7</x:v>
      </x:c>
    </x:row>
    <x:row r="10">
      <x:c r="A10" t="str">
        <x:v>General Motors</x:v>
      </x:c>
      <x:c r="B10" t="n">
        <x:v>1943</x:v>
      </x:c>
      <x:c r="C10" t="n">
        <x:v>499.6</x:v>
      </x:c>
      <x:c r="D10" t="n">
        <x:v>4053.7</x:v>
      </x:c>
      <x:c r="E10" t="n">
        <x:v>264.1</x:v>
      </x:c>
    </x:row>
    <x:row r="11">
      <x:c r="A11" t="str">
        <x:v>General Motors</x:v>
      </x:c>
      <x:c r="B11" t="n">
        <x:v>1944</x:v>
      </x:c>
      <x:c r="C11" t="n">
        <x:v>547.5</x:v>
      </x:c>
      <x:c r="D11" t="n">
        <x:v>4379.3</x:v>
      </x:c>
      <x:c r="E11" t="n">
        <x:v>201.6</x:v>
      </x:c>
    </x:row>
    <x:row r="12">
      <x:c r="A12" t="str">
        <x:v>General Motors</x:v>
      </x:c>
      <x:c r="B12" t="n">
        <x:v>1945</x:v>
      </x:c>
      <x:c r="C12" t="n">
        <x:v>561.2</x:v>
      </x:c>
      <x:c r="D12" t="n">
        <x:v>4840.9</x:v>
      </x:c>
      <x:c r="E12" t="n">
        <x:v>265</x:v>
      </x:c>
    </x:row>
    <x:row r="13">
      <x:c r="A13" t="str">
        <x:v>General Motors</x:v>
      </x:c>
      <x:c r="B13" t="n">
        <x:v>1946</x:v>
      </x:c>
      <x:c r="C13" t="n">
        <x:v>688.1</x:v>
      </x:c>
      <x:c r="D13" t="n">
        <x:v>4900.9</x:v>
      </x:c>
      <x:c r="E13" t="n">
        <x:v>402.2</x:v>
      </x:c>
    </x:row>
    <x:row r="14">
      <x:c r="A14" t="str">
        <x:v>General Motors</x:v>
      </x:c>
      <x:c r="B14" t="n">
        <x:v>1947</x:v>
      </x:c>
      <x:c r="C14" t="n">
        <x:v>568.9</x:v>
      </x:c>
      <x:c r="D14" t="n">
        <x:v>3526.5</x:v>
      </x:c>
      <x:c r="E14" t="n">
        <x:v>761.5</x:v>
      </x:c>
    </x:row>
    <x:row r="15">
      <x:c r="A15" t="str">
        <x:v>General Motors</x:v>
      </x:c>
      <x:c r="B15" t="n">
        <x:v>1948</x:v>
      </x:c>
      <x:c r="C15" t="n">
        <x:v>529.2</x:v>
      </x:c>
      <x:c r="D15" t="n">
        <x:v>3254.7</x:v>
      </x:c>
      <x:c r="E15" t="n">
        <x:v>922.4</x:v>
      </x:c>
    </x:row>
    <x:row r="16">
      <x:c r="A16" t="str">
        <x:v>General Motors</x:v>
      </x:c>
      <x:c r="B16" t="n">
        <x:v>1949</x:v>
      </x:c>
      <x:c r="C16" t="n">
        <x:v>555.1</x:v>
      </x:c>
      <x:c r="D16" t="n">
        <x:v>3700.2</x:v>
      </x:c>
      <x:c r="E16" t="n">
        <x:v>1020.1</x:v>
      </x:c>
    </x:row>
    <x:row r="17">
      <x:c r="A17" t="str">
        <x:v>General Motors</x:v>
      </x:c>
      <x:c r="B17" t="n">
        <x:v>1950</x:v>
      </x:c>
      <x:c r="C17" t="n">
        <x:v>642.9</x:v>
      </x:c>
      <x:c r="D17" t="n">
        <x:v>3755.6</x:v>
      </x:c>
      <x:c r="E17" t="n">
        <x:v>1099</x:v>
      </x:c>
    </x:row>
    <x:row r="18">
      <x:c r="A18" t="str">
        <x:v>General Motors</x:v>
      </x:c>
      <x:c r="B18" t="n">
        <x:v>1951</x:v>
      </x:c>
      <x:c r="C18" t="n">
        <x:v>755.9</x:v>
      </x:c>
      <x:c r="D18" t="n">
        <x:v>4833</x:v>
      </x:c>
      <x:c r="E18" t="n">
        <x:v>1207.7</x:v>
      </x:c>
    </x:row>
    <x:row r="19">
      <x:c r="A19" t="str">
        <x:v>General Motors</x:v>
      </x:c>
      <x:c r="B19" t="n">
        <x:v>1952</x:v>
      </x:c>
      <x:c r="C19" t="n">
        <x:v>891.2</x:v>
      </x:c>
      <x:c r="D19" t="n">
        <x:v>4924.9</x:v>
      </x:c>
      <x:c r="E19" t="n">
        <x:v>1430.5</x:v>
      </x:c>
    </x:row>
    <x:row r="20">
      <x:c r="A20" t="str">
        <x:v>General Motors</x:v>
      </x:c>
      <x:c r="B20" t="n">
        <x:v>1953</x:v>
      </x:c>
      <x:c r="C20" t="n">
        <x:v>1304.4</x:v>
      </x:c>
      <x:c r="D20" t="n">
        <x:v>6241.7</x:v>
      </x:c>
      <x:c r="E20" t="n">
        <x:v>1777.3</x:v>
      </x:c>
    </x:row>
    <x:row r="21">
      <x:c r="A21" t="str">
        <x:v>General Motors</x:v>
      </x:c>
      <x:c r="B21" t="n">
        <x:v>1954</x:v>
      </x:c>
      <x:c r="C21" t="n">
        <x:v>1486.7</x:v>
      </x:c>
      <x:c r="D21" t="n">
        <x:v>5593.6</x:v>
      </x:c>
      <x:c r="E21" t="n">
        <x:v>2226.3</x:v>
      </x:c>
    </x:row>
    <x:row r="22">
      <x:c r="A22" t="str">
        <x:v>US Steel</x:v>
      </x:c>
      <x:c r="B22" t="n">
        <x:v>1935</x:v>
      </x:c>
      <x:c r="C22" t="n">
        <x:v>209.9</x:v>
      </x:c>
      <x:c r="D22" t="n">
        <x:v>1362.4</x:v>
      </x:c>
      <x:c r="E22" t="n">
        <x:v>53.8</x:v>
      </x:c>
    </x:row>
    <x:row r="23">
      <x:c r="A23" t="str">
        <x:v>US Steel</x:v>
      </x:c>
      <x:c r="B23" t="n">
        <x:v>1936</x:v>
      </x:c>
      <x:c r="C23" t="n">
        <x:v>355.3</x:v>
      </x:c>
      <x:c r="D23" t="n">
        <x:v>1807.1</x:v>
      </x:c>
      <x:c r="E23" t="n">
        <x:v>50.5</x:v>
      </x:c>
    </x:row>
    <x:row r="24">
      <x:c r="A24" t="str">
        <x:v>US Steel</x:v>
      </x:c>
      <x:c r="B24" t="n">
        <x:v>1937</x:v>
      </x:c>
      <x:c r="C24" t="n">
        <x:v>469.9</x:v>
      </x:c>
      <x:c r="D24" t="n">
        <x:v>2676.3</x:v>
      </x:c>
      <x:c r="E24" t="n">
        <x:v>118.1</x:v>
      </x:c>
    </x:row>
    <x:row r="25">
      <x:c r="A25" t="str">
        <x:v>US Steel</x:v>
      </x:c>
      <x:c r="B25" t="n">
        <x:v>1938</x:v>
      </x:c>
      <x:c r="C25" t="n">
        <x:v>262.3</x:v>
      </x:c>
      <x:c r="D25" t="n">
        <x:v>1801.9</x:v>
      </x:c>
      <x:c r="E25" t="n">
        <x:v>260.2</x:v>
      </x:c>
    </x:row>
    <x:row r="26">
      <x:c r="A26" t="str">
        <x:v>US Steel</x:v>
      </x:c>
      <x:c r="B26" t="n">
        <x:v>1939</x:v>
      </x:c>
      <x:c r="C26" t="n">
        <x:v>230.4</x:v>
      </x:c>
      <x:c r="D26" t="n">
        <x:v>1957.3</x:v>
      </x:c>
      <x:c r="E26" t="n">
        <x:v>312.7</x:v>
      </x:c>
    </x:row>
    <x:row r="27">
      <x:c r="A27" t="str">
        <x:v>US Steel</x:v>
      </x:c>
      <x:c r="B27" t="n">
        <x:v>1940</x:v>
      </x:c>
      <x:c r="C27" t="n">
        <x:v>361.6</x:v>
      </x:c>
      <x:c r="D27" t="n">
        <x:v>2202.9</x:v>
      </x:c>
      <x:c r="E27" t="n">
        <x:v>254.2</x:v>
      </x:c>
    </x:row>
    <x:row r="28">
      <x:c r="A28" t="str">
        <x:v>US Steel</x:v>
      </x:c>
      <x:c r="B28" t="n">
        <x:v>1941</x:v>
      </x:c>
      <x:c r="C28" t="n">
        <x:v>472.8</x:v>
      </x:c>
      <x:c r="D28" t="n">
        <x:v>2380.5</x:v>
      </x:c>
      <x:c r="E28" t="n">
        <x:v>261.4</x:v>
      </x:c>
    </x:row>
    <x:row r="29">
      <x:c r="A29" t="str">
        <x:v>US Steel</x:v>
      </x:c>
      <x:c r="B29" t="n">
        <x:v>1942</x:v>
      </x:c>
      <x:c r="C29" t="n">
        <x:v>445.6</x:v>
      </x:c>
      <x:c r="D29" t="n">
        <x:v>2168.6</x:v>
      </x:c>
      <x:c r="E29" t="n">
        <x:v>298.7</x:v>
      </x:c>
    </x:row>
    <x:row r="30">
      <x:c r="A30" t="str">
        <x:v>US Steel</x:v>
      </x:c>
      <x:c r="B30" t="n">
        <x:v>1943</x:v>
      </x:c>
      <x:c r="C30" t="n">
        <x:v>361.6</x:v>
      </x:c>
      <x:c r="D30" t="n">
        <x:v>1985.1</x:v>
      </x:c>
      <x:c r="E30" t="n">
        <x:v>301.8</x:v>
      </x:c>
    </x:row>
    <x:row r="31">
      <x:c r="A31" t="str">
        <x:v>US Steel</x:v>
      </x:c>
      <x:c r="B31" t="n">
        <x:v>1944</x:v>
      </x:c>
      <x:c r="C31" t="n">
        <x:v>288.2</x:v>
      </x:c>
      <x:c r="D31" t="n">
        <x:v>1813.9</x:v>
      </x:c>
      <x:c r="E31" t="n">
        <x:v>279.1</x:v>
      </x:c>
    </x:row>
    <x:row r="32">
      <x:c r="A32" t="str">
        <x:v>US Steel</x:v>
      </x:c>
      <x:c r="B32" t="n">
        <x:v>1945</x:v>
      </x:c>
      <x:c r="C32" t="n">
        <x:v>258.7</x:v>
      </x:c>
      <x:c r="D32" t="n">
        <x:v>1850.2</x:v>
      </x:c>
      <x:c r="E32" t="n">
        <x:v>213.8</x:v>
      </x:c>
    </x:row>
    <x:row r="33">
      <x:c r="A33" t="str">
        <x:v>US Steel</x:v>
      </x:c>
      <x:c r="B33" t="n">
        <x:v>1946</x:v>
      </x:c>
      <x:c r="C33" t="n">
        <x:v>420.3</x:v>
      </x:c>
      <x:c r="D33" t="n">
        <x:v>2067.7</x:v>
      </x:c>
      <x:c r="E33" t="n">
        <x:v>132.6</x:v>
      </x:c>
    </x:row>
    <x:row r="34">
      <x:c r="A34" t="str">
        <x:v>US Steel</x:v>
      </x:c>
      <x:c r="B34" t="n">
        <x:v>1947</x:v>
      </x:c>
      <x:c r="C34" t="n">
        <x:v>420.5</x:v>
      </x:c>
      <x:c r="D34" t="n">
        <x:v>1796.7</x:v>
      </x:c>
      <x:c r="E34" t="n">
        <x:v>264.8</x:v>
      </x:c>
    </x:row>
    <x:row r="35">
      <x:c r="A35" t="str">
        <x:v>US Steel</x:v>
      </x:c>
      <x:c r="B35" t="n">
        <x:v>1948</x:v>
      </x:c>
      <x:c r="C35" t="n">
        <x:v>494.5</x:v>
      </x:c>
      <x:c r="D35" t="n">
        <x:v>1625.8</x:v>
      </x:c>
      <x:c r="E35" t="n">
        <x:v>306.9</x:v>
      </x:c>
    </x:row>
    <x:row r="36">
      <x:c r="A36" t="str">
        <x:v>US Steel</x:v>
      </x:c>
      <x:c r="B36" t="n">
        <x:v>1949</x:v>
      </x:c>
      <x:c r="C36" t="n">
        <x:v>405.1</x:v>
      </x:c>
      <x:c r="D36" t="n">
        <x:v>1667</x:v>
      </x:c>
      <x:c r="E36" t="n">
        <x:v>351.1</x:v>
      </x:c>
    </x:row>
    <x:row r="37">
      <x:c r="A37" t="str">
        <x:v>US Steel</x:v>
      </x:c>
      <x:c r="B37" t="n">
        <x:v>1950</x:v>
      </x:c>
      <x:c r="C37" t="n">
        <x:v>418.8</x:v>
      </x:c>
      <x:c r="D37" t="n">
        <x:v>1677.4</x:v>
      </x:c>
      <x:c r="E37" t="n">
        <x:v>357.8</x:v>
      </x:c>
    </x:row>
    <x:row r="38">
      <x:c r="A38" t="str">
        <x:v>US Steel</x:v>
      </x:c>
      <x:c r="B38" t="n">
        <x:v>1951</x:v>
      </x:c>
      <x:c r="C38" t="n">
        <x:v>588.2</x:v>
      </x:c>
      <x:c r="D38" t="n">
        <x:v>2289.5</x:v>
      </x:c>
      <x:c r="E38" t="n">
        <x:v>342.1</x:v>
      </x:c>
    </x:row>
    <x:row r="39">
      <x:c r="A39" t="str">
        <x:v>US Steel</x:v>
      </x:c>
      <x:c r="B39" t="n">
        <x:v>1952</x:v>
      </x:c>
      <x:c r="C39" t="n">
        <x:v>645.5</x:v>
      </x:c>
      <x:c r="D39" t="n">
        <x:v>2159.4</x:v>
      </x:c>
      <x:c r="E39" t="n">
        <x:v>444.2</x:v>
      </x:c>
    </x:row>
    <x:row r="40">
      <x:c r="A40" t="str">
        <x:v>US Steel</x:v>
      </x:c>
      <x:c r="B40" t="n">
        <x:v>1953</x:v>
      </x:c>
      <x:c r="C40" t="n">
        <x:v>641</x:v>
      </x:c>
      <x:c r="D40" t="n">
        <x:v>2031.3</x:v>
      </x:c>
      <x:c r="E40" t="n">
        <x:v>623.6</x:v>
      </x:c>
    </x:row>
    <x:row r="41">
      <x:c r="A41" t="str">
        <x:v>US Steel</x:v>
      </x:c>
      <x:c r="B41" t="n">
        <x:v>1954</x:v>
      </x:c>
      <x:c r="C41" t="n">
        <x:v>459.3</x:v>
      </x:c>
      <x:c r="D41" t="n">
        <x:v>2115.5</x:v>
      </x:c>
      <x:c r="E41" t="n">
        <x:v>669.7</x:v>
      </x:c>
    </x:row>
    <x:row r="42">
      <x:c r="A42" t="str">
        <x:v>General Electric</x:v>
      </x:c>
      <x:c r="B42" t="n">
        <x:v>1935</x:v>
      </x:c>
      <x:c r="C42" t="n">
        <x:v>33.1</x:v>
      </x:c>
      <x:c r="D42" t="n">
        <x:v>1170.6</x:v>
      </x:c>
      <x:c r="E42" t="n">
        <x:v>97.8</x:v>
      </x:c>
    </x:row>
    <x:row r="43">
      <x:c r="A43" t="str">
        <x:v>General Electric</x:v>
      </x:c>
      <x:c r="B43" t="n">
        <x:v>1936</x:v>
      </x:c>
      <x:c r="C43" t="n">
        <x:v>45</x:v>
      </x:c>
      <x:c r="D43" t="n">
        <x:v>2015.8</x:v>
      </x:c>
      <x:c r="E43" t="n">
        <x:v>104.4</x:v>
      </x:c>
    </x:row>
    <x:row r="44">
      <x:c r="A44" t="str">
        <x:v>General Electric</x:v>
      </x:c>
      <x:c r="B44" t="n">
        <x:v>1937</x:v>
      </x:c>
      <x:c r="C44" t="n">
        <x:v>77.2</x:v>
      </x:c>
      <x:c r="D44" t="n">
        <x:v>2803.3</x:v>
      </x:c>
      <x:c r="E44" t="n">
        <x:v>118</x:v>
      </x:c>
    </x:row>
    <x:row r="45">
      <x:c r="A45" t="str">
        <x:v>General Electric</x:v>
      </x:c>
      <x:c r="B45" t="n">
        <x:v>1938</x:v>
      </x:c>
      <x:c r="C45" t="n">
        <x:v>44.6</x:v>
      </x:c>
      <x:c r="D45" t="n">
        <x:v>2039.7</x:v>
      </x:c>
      <x:c r="E45" t="n">
        <x:v>156.2</x:v>
      </x:c>
    </x:row>
    <x:row r="46">
      <x:c r="A46" t="str">
        <x:v>General Electric</x:v>
      </x:c>
      <x:c r="B46" t="n">
        <x:v>1939</x:v>
      </x:c>
      <x:c r="C46" t="n">
        <x:v>48.1</x:v>
      </x:c>
      <x:c r="D46" t="n">
        <x:v>2256.2</x:v>
      </x:c>
      <x:c r="E46" t="n">
        <x:v>172.6</x:v>
      </x:c>
    </x:row>
    <x:row r="47">
      <x:c r="A47" t="str">
        <x:v>General Electric</x:v>
      </x:c>
      <x:c r="B47" t="n">
        <x:v>1940</x:v>
      </x:c>
      <x:c r="C47" t="n">
        <x:v>74.4</x:v>
      </x:c>
      <x:c r="D47" t="n">
        <x:v>2132.2</x:v>
      </x:c>
      <x:c r="E47" t="n">
        <x:v>186.6</x:v>
      </x:c>
    </x:row>
    <x:row r="48">
      <x:c r="A48" t="str">
        <x:v>General Electric</x:v>
      </x:c>
      <x:c r="B48" t="n">
        <x:v>1941</x:v>
      </x:c>
      <x:c r="C48" t="n">
        <x:v>113</x:v>
      </x:c>
      <x:c r="D48" t="n">
        <x:v>1834.1</x:v>
      </x:c>
      <x:c r="E48" t="n">
        <x:v>220.9</x:v>
      </x:c>
    </x:row>
    <x:row r="49">
      <x:c r="A49" t="str">
        <x:v>General Electric</x:v>
      </x:c>
      <x:c r="B49" t="n">
        <x:v>1942</x:v>
      </x:c>
      <x:c r="C49" t="n">
        <x:v>91.9</x:v>
      </x:c>
      <x:c r="D49" t="n">
        <x:v>1588</x:v>
      </x:c>
      <x:c r="E49" t="n">
        <x:v>287.8</x:v>
      </x:c>
    </x:row>
    <x:row r="50">
      <x:c r="A50" t="str">
        <x:v>General Electric</x:v>
      </x:c>
      <x:c r="B50" t="n">
        <x:v>1943</x:v>
      </x:c>
      <x:c r="C50" t="n">
        <x:v>61.3</x:v>
      </x:c>
      <x:c r="D50" t="n">
        <x:v>1749.4</x:v>
      </x:c>
      <x:c r="E50" t="n">
        <x:v>319.9</x:v>
      </x:c>
    </x:row>
    <x:row r="51">
      <x:c r="A51" t="str">
        <x:v>General Electric</x:v>
      </x:c>
      <x:c r="B51" t="n">
        <x:v>1944</x:v>
      </x:c>
      <x:c r="C51" t="n">
        <x:v>56.8</x:v>
      </x:c>
      <x:c r="D51" t="n">
        <x:v>1687.2</x:v>
      </x:c>
      <x:c r="E51" t="n">
        <x:v>321.3</x:v>
      </x:c>
    </x:row>
    <x:row r="52">
      <x:c r="A52" t="str">
        <x:v>General Electric</x:v>
      </x:c>
      <x:c r="B52" t="n">
        <x:v>1945</x:v>
      </x:c>
      <x:c r="C52" t="n">
        <x:v>93.6</x:v>
      </x:c>
      <x:c r="D52" t="n">
        <x:v>2007.7</x:v>
      </x:c>
      <x:c r="E52" t="n">
        <x:v>319.6</x:v>
      </x:c>
    </x:row>
    <x:row r="53">
      <x:c r="A53" t="str">
        <x:v>General Electric</x:v>
      </x:c>
      <x:c r="B53" t="n">
        <x:v>1946</x:v>
      </x:c>
      <x:c r="C53" t="n">
        <x:v>159.9</x:v>
      </x:c>
      <x:c r="D53" t="n">
        <x:v>2208.3</x:v>
      </x:c>
      <x:c r="E53" t="n">
        <x:v>346</x:v>
      </x:c>
    </x:row>
    <x:row r="54">
      <x:c r="A54" t="str">
        <x:v>General Electric</x:v>
      </x:c>
      <x:c r="B54" t="n">
        <x:v>1947</x:v>
      </x:c>
      <x:c r="C54" t="n">
        <x:v>147.2</x:v>
      </x:c>
      <x:c r="D54" t="n">
        <x:v>1656.7</x:v>
      </x:c>
      <x:c r="E54" t="n">
        <x:v>456.4</x:v>
      </x:c>
    </x:row>
    <x:row r="55">
      <x:c r="A55" t="str">
        <x:v>General Electric</x:v>
      </x:c>
      <x:c r="B55" t="n">
        <x:v>1948</x:v>
      </x:c>
      <x:c r="C55" t="n">
        <x:v>146.3</x:v>
      </x:c>
      <x:c r="D55" t="n">
        <x:v>1604.4</x:v>
      </x:c>
      <x:c r="E55" t="n">
        <x:v>543.4</x:v>
      </x:c>
    </x:row>
    <x:row r="56">
      <x:c r="A56" t="str">
        <x:v>General Electric</x:v>
      </x:c>
      <x:c r="B56" t="n">
        <x:v>1949</x:v>
      </x:c>
      <x:c r="C56" t="n">
        <x:v>98.3</x:v>
      </x:c>
      <x:c r="D56" t="n">
        <x:v>1431.8</x:v>
      </x:c>
      <x:c r="E56" t="n">
        <x:v>618.3</x:v>
      </x:c>
    </x:row>
    <x:row r="57">
      <x:c r="A57" t="str">
        <x:v>General Electric</x:v>
      </x:c>
      <x:c r="B57" t="n">
        <x:v>1950</x:v>
      </x:c>
      <x:c r="C57" t="n">
        <x:v>93.5</x:v>
      </x:c>
      <x:c r="D57" t="n">
        <x:v>1610.5</x:v>
      </x:c>
      <x:c r="E57" t="n">
        <x:v>647.4</x:v>
      </x:c>
    </x:row>
    <x:row r="58">
      <x:c r="A58" t="str">
        <x:v>General Electric</x:v>
      </x:c>
      <x:c r="B58" t="n">
        <x:v>1951</x:v>
      </x:c>
      <x:c r="C58" t="n">
        <x:v>135.2</x:v>
      </x:c>
      <x:c r="D58" t="n">
        <x:v>1819.4</x:v>
      </x:c>
      <x:c r="E58" t="n">
        <x:v>671.3</x:v>
      </x:c>
    </x:row>
    <x:row r="59">
      <x:c r="A59" t="str">
        <x:v>General Electric</x:v>
      </x:c>
      <x:c r="B59" t="n">
        <x:v>1952</x:v>
      </x:c>
      <x:c r="C59" t="n">
        <x:v>157.3</x:v>
      </x:c>
      <x:c r="D59" t="n">
        <x:v>2079.7</x:v>
      </x:c>
      <x:c r="E59" t="n">
        <x:v>726.1</x:v>
      </x:c>
    </x:row>
    <x:row r="60">
      <x:c r="A60" t="str">
        <x:v>General Electric</x:v>
      </x:c>
      <x:c r="B60" t="n">
        <x:v>1953</x:v>
      </x:c>
      <x:c r="C60" t="n">
        <x:v>179.5</x:v>
      </x:c>
      <x:c r="D60" t="n">
        <x:v>2371.6</x:v>
      </x:c>
      <x:c r="E60" t="n">
        <x:v>800.3</x:v>
      </x:c>
    </x:row>
    <x:row r="61">
      <x:c r="A61" t="str">
        <x:v>General Electric</x:v>
      </x:c>
      <x:c r="B61" t="n">
        <x:v>1954</x:v>
      </x:c>
      <x:c r="C61" t="n">
        <x:v>189.6</x:v>
      </x:c>
      <x:c r="D61" t="n">
        <x:v>2759.9</x:v>
      </x:c>
      <x:c r="E61" t="n">
        <x:v>888.9</x:v>
      </x:c>
    </x:row>
    <x:row r="62">
      <x:c r="A62" t="str">
        <x:v>Chrysler</x:v>
      </x:c>
      <x:c r="B62" t="n">
        <x:v>1935</x:v>
      </x:c>
      <x:c r="C62" t="n">
        <x:v>40.29</x:v>
      </x:c>
      <x:c r="D62" t="n">
        <x:v>417.5</x:v>
      </x:c>
      <x:c r="E62" t="n">
        <x:v>10.5</x:v>
      </x:c>
    </x:row>
    <x:row r="63">
      <x:c r="A63" t="str">
        <x:v>Chrysler</x:v>
      </x:c>
      <x:c r="B63" t="n">
        <x:v>1936</x:v>
      </x:c>
      <x:c r="C63" t="n">
        <x:v>72.76</x:v>
      </x:c>
      <x:c r="D63" t="n">
        <x:v>837.8</x:v>
      </x:c>
      <x:c r="E63" t="n">
        <x:v>10.2</x:v>
      </x:c>
    </x:row>
    <x:row r="64">
      <x:c r="A64" t="str">
        <x:v>Chrysler</x:v>
      </x:c>
      <x:c r="B64" t="n">
        <x:v>1937</x:v>
      </x:c>
      <x:c r="C64" t="n">
        <x:v>66.26</x:v>
      </x:c>
      <x:c r="D64" t="n">
        <x:v>883.9</x:v>
      </x:c>
      <x:c r="E64" t="n">
        <x:v>34.7</x:v>
      </x:c>
    </x:row>
    <x:row r="65">
      <x:c r="A65" t="str">
        <x:v>Chrysler</x:v>
      </x:c>
      <x:c r="B65" t="n">
        <x:v>1938</x:v>
      </x:c>
      <x:c r="C65" t="n">
        <x:v>51.6</x:v>
      </x:c>
      <x:c r="D65" t="n">
        <x:v>437.9</x:v>
      </x:c>
      <x:c r="E65" t="n">
        <x:v>51.8</x:v>
      </x:c>
    </x:row>
    <x:row r="66">
      <x:c r="A66" t="str">
        <x:v>Chrysler</x:v>
      </x:c>
      <x:c r="B66" t="n">
        <x:v>1939</x:v>
      </x:c>
      <x:c r="C66" t="n">
        <x:v>52.41</x:v>
      </x:c>
      <x:c r="D66" t="n">
        <x:v>679.7</x:v>
      </x:c>
      <x:c r="E66" t="n">
        <x:v>64.3</x:v>
      </x:c>
    </x:row>
    <x:row r="67">
      <x:c r="A67" t="str">
        <x:v>Chrysler</x:v>
      </x:c>
      <x:c r="B67" t="n">
        <x:v>1940</x:v>
      </x:c>
      <x:c r="C67" t="n">
        <x:v>69.41</x:v>
      </x:c>
      <x:c r="D67" t="n">
        <x:v>727.8</x:v>
      </x:c>
      <x:c r="E67" t="n">
        <x:v>67.1</x:v>
      </x:c>
    </x:row>
    <x:row r="68">
      <x:c r="A68" t="str">
        <x:v>Chrysler</x:v>
      </x:c>
      <x:c r="B68" t="n">
        <x:v>1941</x:v>
      </x:c>
      <x:c r="C68" t="n">
        <x:v>68.35</x:v>
      </x:c>
      <x:c r="D68" t="n">
        <x:v>643.6</x:v>
      </x:c>
      <x:c r="E68" t="n">
        <x:v>75.2</x:v>
      </x:c>
    </x:row>
    <x:row r="69">
      <x:c r="A69" t="str">
        <x:v>Chrysler</x:v>
      </x:c>
      <x:c r="B69" t="n">
        <x:v>1942</x:v>
      </x:c>
      <x:c r="C69" t="n">
        <x:v>46.8</x:v>
      </x:c>
      <x:c r="D69" t="n">
        <x:v>410.9</x:v>
      </x:c>
      <x:c r="E69" t="n">
        <x:v>71.4</x:v>
      </x:c>
    </x:row>
    <x:row r="70">
      <x:c r="A70" t="str">
        <x:v>Chrysler</x:v>
      </x:c>
      <x:c r="B70" t="n">
        <x:v>1943</x:v>
      </x:c>
      <x:c r="C70" t="n">
        <x:v>47.4</x:v>
      </x:c>
      <x:c r="D70" t="n">
        <x:v>588.4</x:v>
      </x:c>
      <x:c r="E70" t="n">
        <x:v>67.1</x:v>
      </x:c>
    </x:row>
    <x:row r="71">
      <x:c r="A71" t="str">
        <x:v>Chrysler</x:v>
      </x:c>
      <x:c r="B71" t="n">
        <x:v>1944</x:v>
      </x:c>
      <x:c r="C71" t="n">
        <x:v>59.57</x:v>
      </x:c>
      <x:c r="D71" t="n">
        <x:v>698.4</x:v>
      </x:c>
      <x:c r="E71" t="n">
        <x:v>60.5</x:v>
      </x:c>
    </x:row>
    <x:row r="72">
      <x:c r="A72" t="str">
        <x:v>Chrysler</x:v>
      </x:c>
      <x:c r="B72" t="n">
        <x:v>1945</x:v>
      </x:c>
      <x:c r="C72" t="n">
        <x:v>88.78</x:v>
      </x:c>
      <x:c r="D72" t="n">
        <x:v>846.4</x:v>
      </x:c>
      <x:c r="E72" t="n">
        <x:v>54.6</x:v>
      </x:c>
    </x:row>
    <x:row r="73">
      <x:c r="A73" t="str">
        <x:v>Chrysler</x:v>
      </x:c>
      <x:c r="B73" t="n">
        <x:v>1946</x:v>
      </x:c>
      <x:c r="C73" t="n">
        <x:v>74.12</x:v>
      </x:c>
      <x:c r="D73" t="n">
        <x:v>893.8</x:v>
      </x:c>
      <x:c r="E73" t="n">
        <x:v>84.8</x:v>
      </x:c>
    </x:row>
    <x:row r="74">
      <x:c r="A74" t="str">
        <x:v>Chrysler</x:v>
      </x:c>
      <x:c r="B74" t="n">
        <x:v>1947</x:v>
      </x:c>
      <x:c r="C74" t="n">
        <x:v>62.68</x:v>
      </x:c>
      <x:c r="D74" t="n">
        <x:v>579</x:v>
      </x:c>
      <x:c r="E74" t="n">
        <x:v>96.8</x:v>
      </x:c>
    </x:row>
    <x:row r="75">
      <x:c r="A75" t="str">
        <x:v>Chrysler</x:v>
      </x:c>
      <x:c r="B75" t="n">
        <x:v>1948</x:v>
      </x:c>
      <x:c r="C75" t="n">
        <x:v>89.36</x:v>
      </x:c>
      <x:c r="D75" t="n">
        <x:v>694.6</x:v>
      </x:c>
      <x:c r="E75" t="n">
        <x:v>110.2</x:v>
      </x:c>
    </x:row>
    <x:row r="76">
      <x:c r="A76" t="str">
        <x:v>Chrysler</x:v>
      </x:c>
      <x:c r="B76" t="n">
        <x:v>1949</x:v>
      </x:c>
      <x:c r="C76" t="n">
        <x:v>78.98</x:v>
      </x:c>
      <x:c r="D76" t="n">
        <x:v>590.3</x:v>
      </x:c>
      <x:c r="E76" t="n">
        <x:v>147.4</x:v>
      </x:c>
    </x:row>
    <x:row r="77">
      <x:c r="A77" t="str">
        <x:v>Chrysler</x:v>
      </x:c>
      <x:c r="B77" t="n">
        <x:v>1950</x:v>
      </x:c>
      <x:c r="C77" t="n">
        <x:v>100.66</x:v>
      </x:c>
      <x:c r="D77" t="n">
        <x:v>693.5</x:v>
      </x:c>
      <x:c r="E77" t="n">
        <x:v>163.2</x:v>
      </x:c>
    </x:row>
    <x:row r="78">
      <x:c r="A78" t="str">
        <x:v>Chrysler</x:v>
      </x:c>
      <x:c r="B78" t="n">
        <x:v>1951</x:v>
      </x:c>
      <x:c r="C78" t="n">
        <x:v>160.62</x:v>
      </x:c>
      <x:c r="D78" t="n">
        <x:v>809</x:v>
      </x:c>
      <x:c r="E78" t="n">
        <x:v>203.5</x:v>
      </x:c>
    </x:row>
    <x:row r="79">
      <x:c r="A79" t="str">
        <x:v>Chrysler</x:v>
      </x:c>
      <x:c r="B79" t="n">
        <x:v>1952</x:v>
      </x:c>
      <x:c r="C79" t="n">
        <x:v>145</x:v>
      </x:c>
      <x:c r="D79" t="n">
        <x:v>727</x:v>
      </x:c>
      <x:c r="E79" t="n">
        <x:v>290.6</x:v>
      </x:c>
    </x:row>
    <x:row r="80">
      <x:c r="A80" t="str">
        <x:v>Chrysler</x:v>
      </x:c>
      <x:c r="B80" t="n">
        <x:v>1953</x:v>
      </x:c>
      <x:c r="C80" t="n">
        <x:v>174.93</x:v>
      </x:c>
      <x:c r="D80" t="n">
        <x:v>1001.5</x:v>
      </x:c>
      <x:c r="E80" t="n">
        <x:v>346.1</x:v>
      </x:c>
    </x:row>
    <x:row r="81">
      <x:c r="A81" t="str">
        <x:v>Chrysler</x:v>
      </x:c>
      <x:c r="B81" t="n">
        <x:v>1954</x:v>
      </x:c>
      <x:c r="C81" t="n">
        <x:v>172.49</x:v>
      </x:c>
      <x:c r="D81" t="n">
        <x:v>703.2</x:v>
      </x:c>
      <x:c r="E81" t="n">
        <x:v>414.9</x:v>
      </x:c>
    </x:row>
    <x:row r="82">
      <x:c r="A82" t="str">
        <x:v>Atlantic Refining</x:v>
      </x:c>
      <x:c r="B82" t="n">
        <x:v>1935</x:v>
      </x:c>
      <x:c r="C82" t="n">
        <x:v>39.68</x:v>
      </x:c>
      <x:c r="D82" t="n">
        <x:v>157.7</x:v>
      </x:c>
      <x:c r="E82" t="n">
        <x:v>183.2</x:v>
      </x:c>
    </x:row>
    <x:row r="83">
      <x:c r="A83" t="str">
        <x:v>Atlantic Refining</x:v>
      </x:c>
      <x:c r="B83" t="n">
        <x:v>1936</x:v>
      </x:c>
      <x:c r="C83" t="n">
        <x:v>50.73</x:v>
      </x:c>
      <x:c r="D83" t="n">
        <x:v>167.9</x:v>
      </x:c>
      <x:c r="E83" t="n">
        <x:v>204</x:v>
      </x:c>
    </x:row>
    <x:row r="84">
      <x:c r="A84" t="str">
        <x:v>Atlantic Refining</x:v>
      </x:c>
      <x:c r="B84" t="n">
        <x:v>1937</x:v>
      </x:c>
      <x:c r="C84" t="n">
        <x:v>74.24</x:v>
      </x:c>
      <x:c r="D84" t="n">
        <x:v>192.9</x:v>
      </x:c>
      <x:c r="E84" t="n">
        <x:v>236</x:v>
      </x:c>
    </x:row>
    <x:row r="85">
      <x:c r="A85" t="str">
        <x:v>Atlantic Refining</x:v>
      </x:c>
      <x:c r="B85" t="n">
        <x:v>1938</x:v>
      </x:c>
      <x:c r="C85" t="n">
        <x:v>53.51</x:v>
      </x:c>
      <x:c r="D85" t="n">
        <x:v>156.7</x:v>
      </x:c>
      <x:c r="E85" t="n">
        <x:v>291.7</x:v>
      </x:c>
    </x:row>
    <x:row r="86">
      <x:c r="A86" t="str">
        <x:v>Atlantic Refining</x:v>
      </x:c>
      <x:c r="B86" t="n">
        <x:v>1939</x:v>
      </x:c>
      <x:c r="C86" t="n">
        <x:v>42.65</x:v>
      </x:c>
      <x:c r="D86" t="n">
        <x:v>191.4</x:v>
      </x:c>
      <x:c r="E86" t="n">
        <x:v>323.1</x:v>
      </x:c>
    </x:row>
    <x:row r="87">
      <x:c r="A87" t="str">
        <x:v>Atlantic Refining</x:v>
      </x:c>
      <x:c r="B87" t="n">
        <x:v>1940</x:v>
      </x:c>
      <x:c r="C87" t="n">
        <x:v>46.48</x:v>
      </x:c>
      <x:c r="D87" t="n">
        <x:v>185.5</x:v>
      </x:c>
      <x:c r="E87" t="n">
        <x:v>344</x:v>
      </x:c>
    </x:row>
    <x:row r="88">
      <x:c r="A88" t="str">
        <x:v>Atlantic Refining</x:v>
      </x:c>
      <x:c r="B88" t="n">
        <x:v>1941</x:v>
      </x:c>
      <x:c r="C88" t="n">
        <x:v>61.4</x:v>
      </x:c>
      <x:c r="D88" t="n">
        <x:v>199.6</x:v>
      </x:c>
      <x:c r="E88" t="n">
        <x:v>367.7</x:v>
      </x:c>
    </x:row>
    <x:row r="89">
      <x:c r="A89" t="str">
        <x:v>Atlantic Refining</x:v>
      </x:c>
      <x:c r="B89" t="n">
        <x:v>1942</x:v>
      </x:c>
      <x:c r="C89" t="n">
        <x:v>39.67</x:v>
      </x:c>
      <x:c r="D89" t="n">
        <x:v>189.5</x:v>
      </x:c>
      <x:c r="E89" t="n">
        <x:v>407.2</x:v>
      </x:c>
    </x:row>
    <x:row r="90">
      <x:c r="A90" t="str">
        <x:v>Atlantic Refining</x:v>
      </x:c>
      <x:c r="B90" t="n">
        <x:v>1943</x:v>
      </x:c>
      <x:c r="C90" t="n">
        <x:v>62.24</x:v>
      </x:c>
      <x:c r="D90" t="n">
        <x:v>151.2</x:v>
      </x:c>
      <x:c r="E90" t="n">
        <x:v>426.6</x:v>
      </x:c>
    </x:row>
    <x:row r="91">
      <x:c r="A91" t="str">
        <x:v>Atlantic Refining</x:v>
      </x:c>
      <x:c r="B91" t="n">
        <x:v>1944</x:v>
      </x:c>
      <x:c r="C91" t="n">
        <x:v>52.32</x:v>
      </x:c>
      <x:c r="D91" t="n">
        <x:v>187.7</x:v>
      </x:c>
      <x:c r="E91" t="n">
        <x:v>470</x:v>
      </x:c>
    </x:row>
    <x:row r="92">
      <x:c r="A92" t="str">
        <x:v>Atlantic Refining</x:v>
      </x:c>
      <x:c r="B92" t="n">
        <x:v>1945</x:v>
      </x:c>
      <x:c r="C92" t="n">
        <x:v>63.21</x:v>
      </x:c>
      <x:c r="D92" t="n">
        <x:v>214.7</x:v>
      </x:c>
      <x:c r="E92" t="n">
        <x:v>499.2</x:v>
      </x:c>
    </x:row>
    <x:row r="93">
      <x:c r="A93" t="str">
        <x:v>Atlantic Refining</x:v>
      </x:c>
      <x:c r="B93" t="n">
        <x:v>1946</x:v>
      </x:c>
      <x:c r="C93" t="n">
        <x:v>59.37</x:v>
      </x:c>
      <x:c r="D93" t="n">
        <x:v>232.9</x:v>
      </x:c>
      <x:c r="E93" t="n">
        <x:v>534.6</x:v>
      </x:c>
    </x:row>
    <x:row r="94">
      <x:c r="A94" t="str">
        <x:v>Atlantic Refining</x:v>
      </x:c>
      <x:c r="B94" t="n">
        <x:v>1947</x:v>
      </x:c>
      <x:c r="C94" t="n">
        <x:v>58.02</x:v>
      </x:c>
      <x:c r="D94" t="n">
        <x:v>249</x:v>
      </x:c>
      <x:c r="E94" t="n">
        <x:v>566.6</x:v>
      </x:c>
    </x:row>
    <x:row r="95">
      <x:c r="A95" t="str">
        <x:v>Atlantic Refining</x:v>
      </x:c>
      <x:c r="B95" t="n">
        <x:v>1948</x:v>
      </x:c>
      <x:c r="C95" t="n">
        <x:v>70.34</x:v>
      </x:c>
      <x:c r="D95" t="n">
        <x:v>224.5</x:v>
      </x:c>
      <x:c r="E95" t="n">
        <x:v>595.3</x:v>
      </x:c>
    </x:row>
    <x:row r="96">
      <x:c r="A96" t="str">
        <x:v>Atlantic Refining</x:v>
      </x:c>
      <x:c r="B96" t="n">
        <x:v>1949</x:v>
      </x:c>
      <x:c r="C96" t="n">
        <x:v>67.42</x:v>
      </x:c>
      <x:c r="D96" t="n">
        <x:v>237.3</x:v>
      </x:c>
      <x:c r="E96" t="n">
        <x:v>631.4</x:v>
      </x:c>
    </x:row>
    <x:row r="97">
      <x:c r="A97" t="str">
        <x:v>Atlantic Refining</x:v>
      </x:c>
      <x:c r="B97" t="n">
        <x:v>1950</x:v>
      </x:c>
      <x:c r="C97" t="n">
        <x:v>55.74</x:v>
      </x:c>
      <x:c r="D97" t="n">
        <x:v>240.1</x:v>
      </x:c>
      <x:c r="E97" t="n">
        <x:v>662.3</x:v>
      </x:c>
    </x:row>
    <x:row r="98">
      <x:c r="A98" t="str">
        <x:v>Atlantic Refining</x:v>
      </x:c>
      <x:c r="B98" t="n">
        <x:v>1951</x:v>
      </x:c>
      <x:c r="C98" t="n">
        <x:v>80.3</x:v>
      </x:c>
      <x:c r="D98" t="n">
        <x:v>327.3</x:v>
      </x:c>
      <x:c r="E98" t="n">
        <x:v>683.9</x:v>
      </x:c>
    </x:row>
    <x:row r="99">
      <x:c r="A99" t="str">
        <x:v>Atlantic Refining</x:v>
      </x:c>
      <x:c r="B99" t="n">
        <x:v>1952</x:v>
      </x:c>
      <x:c r="C99" t="n">
        <x:v>85.4</x:v>
      </x:c>
      <x:c r="D99" t="n">
        <x:v>359.4</x:v>
      </x:c>
      <x:c r="E99" t="n">
        <x:v>729.3</x:v>
      </x:c>
    </x:row>
    <x:row r="100">
      <x:c r="A100" t="str">
        <x:v>Atlantic Refining</x:v>
      </x:c>
      <x:c r="B100" t="n">
        <x:v>1953</x:v>
      </x:c>
      <x:c r="C100" t="n">
        <x:v>91.9</x:v>
      </x:c>
      <x:c r="D100" t="n">
        <x:v>398.4</x:v>
      </x:c>
      <x:c r="E100" t="n">
        <x:v>774.3</x:v>
      </x:c>
    </x:row>
    <x:row r="101">
      <x:c r="A101" t="str">
        <x:v>Atlantic Refining</x:v>
      </x:c>
      <x:c r="B101" t="n">
        <x:v>1954</x:v>
      </x:c>
      <x:c r="C101" t="n">
        <x:v>81.43</x:v>
      </x:c>
      <x:c r="D101" t="n">
        <x:v>365.7</x:v>
      </x:c>
      <x:c r="E101" t="n">
        <x:v>804.9</x:v>
      </x:c>
    </x:row>
    <x:row r="102">
      <x:c r="A102" t="str">
        <x:v>IBM</x:v>
      </x:c>
      <x:c r="B102" t="n">
        <x:v>1935</x:v>
      </x:c>
      <x:c r="C102" t="n">
        <x:v>20.36</x:v>
      </x:c>
      <x:c r="D102" t="n">
        <x:v>197</x:v>
      </x:c>
      <x:c r="E102" t="n">
        <x:v>6.5</x:v>
      </x:c>
    </x:row>
    <x:row r="103">
      <x:c r="A103" t="str">
        <x:v>IBM</x:v>
      </x:c>
      <x:c r="B103" t="n">
        <x:v>1936</x:v>
      </x:c>
      <x:c r="C103" t="n">
        <x:v>25.98</x:v>
      </x:c>
      <x:c r="D103" t="n">
        <x:v>210.3</x:v>
      </x:c>
      <x:c r="E103" t="n">
        <x:v>15.8</x:v>
      </x:c>
    </x:row>
    <x:row r="104">
      <x:c r="A104" t="str">
        <x:v>IBM</x:v>
      </x:c>
      <x:c r="B104" t="n">
        <x:v>1937</x:v>
      </x:c>
      <x:c r="C104" t="n">
        <x:v>25.94</x:v>
      </x:c>
      <x:c r="D104" t="n">
        <x:v>223.1</x:v>
      </x:c>
      <x:c r="E104" t="n">
        <x:v>27.7</x:v>
      </x:c>
    </x:row>
    <x:row r="105">
      <x:c r="A105" t="str">
        <x:v>IBM</x:v>
      </x:c>
      <x:c r="B105" t="n">
        <x:v>1938</x:v>
      </x:c>
      <x:c r="C105" t="n">
        <x:v>27.53</x:v>
      </x:c>
      <x:c r="D105" t="n">
        <x:v>216.7</x:v>
      </x:c>
      <x:c r="E105" t="n">
        <x:v>39.2</x:v>
      </x:c>
    </x:row>
    <x:row r="106">
      <x:c r="A106" t="str">
        <x:v>IBM</x:v>
      </x:c>
      <x:c r="B106" t="n">
        <x:v>1939</x:v>
      </x:c>
      <x:c r="C106" t="n">
        <x:v>24.6</x:v>
      </x:c>
      <x:c r="D106" t="n">
        <x:v>286.4</x:v>
      </x:c>
      <x:c r="E106" t="n">
        <x:v>48.6</x:v>
      </x:c>
    </x:row>
    <x:row r="107">
      <x:c r="A107" t="str">
        <x:v>IBM</x:v>
      </x:c>
      <x:c r="B107" t="n">
        <x:v>1940</x:v>
      </x:c>
      <x:c r="C107" t="n">
        <x:v>28.54</x:v>
      </x:c>
      <x:c r="D107" t="n">
        <x:v>298</x:v>
      </x:c>
      <x:c r="E107" t="n">
        <x:v>52.5</x:v>
      </x:c>
    </x:row>
    <x:row r="108">
      <x:c r="A108" t="str">
        <x:v>IBM</x:v>
      </x:c>
      <x:c r="B108" t="n">
        <x:v>1941</x:v>
      </x:c>
      <x:c r="C108" t="n">
        <x:v>43.41</x:v>
      </x:c>
      <x:c r="D108" t="n">
        <x:v>276.9</x:v>
      </x:c>
      <x:c r="E108" t="n">
        <x:v>61.5</x:v>
      </x:c>
    </x:row>
    <x:row r="109">
      <x:c r="A109" t="str">
        <x:v>IBM</x:v>
      </x:c>
      <x:c r="B109" t="n">
        <x:v>1942</x:v>
      </x:c>
      <x:c r="C109" t="n">
        <x:v>42.81</x:v>
      </x:c>
      <x:c r="D109" t="n">
        <x:v>272.6</x:v>
      </x:c>
      <x:c r="E109" t="n">
        <x:v>80.5</x:v>
      </x:c>
    </x:row>
    <x:row r="110">
      <x:c r="A110" t="str">
        <x:v>IBM</x:v>
      </x:c>
      <x:c r="B110" t="n">
        <x:v>1943</x:v>
      </x:c>
      <x:c r="C110" t="n">
        <x:v>27.84</x:v>
      </x:c>
      <x:c r="D110" t="n">
        <x:v>287.4</x:v>
      </x:c>
      <x:c r="E110" t="n">
        <x:v>94.4</x:v>
      </x:c>
    </x:row>
    <x:row r="111">
      <x:c r="A111" t="str">
        <x:v>IBM</x:v>
      </x:c>
      <x:c r="B111" t="n">
        <x:v>1944</x:v>
      </x:c>
      <x:c r="C111" t="n">
        <x:v>32.6</x:v>
      </x:c>
      <x:c r="D111" t="n">
        <x:v>330.3</x:v>
      </x:c>
      <x:c r="E111" t="n">
        <x:v>92.6</x:v>
      </x:c>
    </x:row>
    <x:row r="112">
      <x:c r="A112" t="str">
        <x:v>IBM</x:v>
      </x:c>
      <x:c r="B112" t="n">
        <x:v>1945</x:v>
      </x:c>
      <x:c r="C112" t="n">
        <x:v>39.03</x:v>
      </x:c>
      <x:c r="D112" t="n">
        <x:v>324.4</x:v>
      </x:c>
      <x:c r="E112" t="n">
        <x:v>92.3</x:v>
      </x:c>
    </x:row>
    <x:row r="113">
      <x:c r="A113" t="str">
        <x:v>IBM</x:v>
      </x:c>
      <x:c r="B113" t="n">
        <x:v>1946</x:v>
      </x:c>
      <x:c r="C113" t="n">
        <x:v>50.17</x:v>
      </x:c>
      <x:c r="D113" t="n">
        <x:v>401.9</x:v>
      </x:c>
      <x:c r="E113" t="n">
        <x:v>94.2</x:v>
      </x:c>
    </x:row>
    <x:row r="114">
      <x:c r="A114" t="str">
        <x:v>IBM</x:v>
      </x:c>
      <x:c r="B114" t="n">
        <x:v>1947</x:v>
      </x:c>
      <x:c r="C114" t="n">
        <x:v>51.85</x:v>
      </x:c>
      <x:c r="D114" t="n">
        <x:v>407.4</x:v>
      </x:c>
      <x:c r="E114" t="n">
        <x:v>111.4</x:v>
      </x:c>
    </x:row>
    <x:row r="115">
      <x:c r="A115" t="str">
        <x:v>IBM</x:v>
      </x:c>
      <x:c r="B115" t="n">
        <x:v>1948</x:v>
      </x:c>
      <x:c r="C115" t="n">
        <x:v>64.03</x:v>
      </x:c>
      <x:c r="D115" t="n">
        <x:v>409.2</x:v>
      </x:c>
      <x:c r="E115" t="n">
        <x:v>127.4</x:v>
      </x:c>
    </x:row>
    <x:row r="116">
      <x:c r="A116" t="str">
        <x:v>IBM</x:v>
      </x:c>
      <x:c r="B116" t="n">
        <x:v>1949</x:v>
      </x:c>
      <x:c r="C116" t="n">
        <x:v>68.16</x:v>
      </x:c>
      <x:c r="D116" t="n">
        <x:v>482.2</x:v>
      </x:c>
      <x:c r="E116" t="n">
        <x:v>149.3</x:v>
      </x:c>
    </x:row>
    <x:row r="117">
      <x:c r="A117" t="str">
        <x:v>IBM</x:v>
      </x:c>
      <x:c r="B117" t="n">
        <x:v>1950</x:v>
      </x:c>
      <x:c r="C117" t="n">
        <x:v>77.34</x:v>
      </x:c>
      <x:c r="D117" t="n">
        <x:v>673.8</x:v>
      </x:c>
      <x:c r="E117" t="n">
        <x:v>164.4</x:v>
      </x:c>
    </x:row>
    <x:row r="118">
      <x:c r="A118" t="str">
        <x:v>IBM</x:v>
      </x:c>
      <x:c r="B118" t="n">
        <x:v>1951</x:v>
      </x:c>
      <x:c r="C118" t="n">
        <x:v>95.3</x:v>
      </x:c>
      <x:c r="D118" t="n">
        <x:v>676.9</x:v>
      </x:c>
      <x:c r="E118" t="n">
        <x:v>177.2</x:v>
      </x:c>
    </x:row>
    <x:row r="119">
      <x:c r="A119" t="str">
        <x:v>IBM</x:v>
      </x:c>
      <x:c r="B119" t="n">
        <x:v>1952</x:v>
      </x:c>
      <x:c r="C119" t="n">
        <x:v>99.49</x:v>
      </x:c>
      <x:c r="D119" t="n">
        <x:v>702</x:v>
      </x:c>
      <x:c r="E119" t="n">
        <x:v>200</x:v>
      </x:c>
    </x:row>
    <x:row r="120">
      <x:c r="A120" t="str">
        <x:v>IBM</x:v>
      </x:c>
      <x:c r="B120" t="n">
        <x:v>1953</x:v>
      </x:c>
      <x:c r="C120" t="n">
        <x:v>127.52</x:v>
      </x:c>
      <x:c r="D120" t="n">
        <x:v>793.5</x:v>
      </x:c>
      <x:c r="E120" t="n">
        <x:v>211.5</x:v>
      </x:c>
    </x:row>
    <x:row r="121">
      <x:c r="A121" t="str">
        <x:v>IBM</x:v>
      </x:c>
      <x:c r="B121" t="n">
        <x:v>1954</x:v>
      </x:c>
      <x:c r="C121" t="n">
        <x:v>135.72</x:v>
      </x:c>
      <x:c r="D121" t="n">
        <x:v>927.3</x:v>
      </x:c>
      <x:c r="E121" t="n">
        <x:v>238.7</x:v>
      </x:c>
    </x:row>
    <x:row r="122">
      <x:c r="A122" t="str">
        <x:v>Union Oil</x:v>
      </x:c>
      <x:c r="B122" t="n">
        <x:v>1935</x:v>
      </x:c>
      <x:c r="C122" t="n">
        <x:v>24.43</x:v>
      </x:c>
      <x:c r="D122" t="n">
        <x:v>138</x:v>
      </x:c>
      <x:c r="E122" t="n">
        <x:v>100.2</x:v>
      </x:c>
    </x:row>
    <x:row r="123">
      <x:c r="A123" t="str">
        <x:v>Union Oil</x:v>
      </x:c>
      <x:c r="B123" t="n">
        <x:v>1936</x:v>
      </x:c>
      <x:c r="C123" t="n">
        <x:v>23.21</x:v>
      </x:c>
      <x:c r="D123" t="n">
        <x:v>200.1</x:v>
      </x:c>
      <x:c r="E123" t="n">
        <x:v>125</x:v>
      </x:c>
    </x:row>
    <x:row r="124">
      <x:c r="A124" t="str">
        <x:v>Union Oil</x:v>
      </x:c>
      <x:c r="B124" t="n">
        <x:v>1937</x:v>
      </x:c>
      <x:c r="C124" t="n">
        <x:v>32.78</x:v>
      </x:c>
      <x:c r="D124" t="n">
        <x:v>210.1</x:v>
      </x:c>
      <x:c r="E124" t="n">
        <x:v>142.4</x:v>
      </x:c>
    </x:row>
    <x:row r="125">
      <x:c r="A125" t="str">
        <x:v>Union Oil</x:v>
      </x:c>
      <x:c r="B125" t="n">
        <x:v>1938</x:v>
      </x:c>
      <x:c r="C125" t="n">
        <x:v>32.54</x:v>
      </x:c>
      <x:c r="D125" t="n">
        <x:v>161.2</x:v>
      </x:c>
      <x:c r="E125" t="n">
        <x:v>165.1</x:v>
      </x:c>
    </x:row>
    <x:row r="126">
      <x:c r="A126" t="str">
        <x:v>Union Oil</x:v>
      </x:c>
      <x:c r="B126" t="n">
        <x:v>1939</x:v>
      </x:c>
      <x:c r="C126" t="n">
        <x:v>26.65</x:v>
      </x:c>
      <x:c r="D126" t="n">
        <x:v>161.7</x:v>
      </x:c>
      <x:c r="E126" t="n">
        <x:v>194.8</x:v>
      </x:c>
    </x:row>
    <x:row r="127">
      <x:c r="A127" t="str">
        <x:v>Union Oil</x:v>
      </x:c>
      <x:c r="B127" t="n">
        <x:v>1940</x:v>
      </x:c>
      <x:c r="C127" t="n">
        <x:v>33.71</x:v>
      </x:c>
      <x:c r="D127" t="n">
        <x:v>145.1</x:v>
      </x:c>
      <x:c r="E127" t="n">
        <x:v>222.9</x:v>
      </x:c>
    </x:row>
    <x:row r="128">
      <x:c r="A128" t="str">
        <x:v>Union Oil</x:v>
      </x:c>
      <x:c r="B128" t="n">
        <x:v>1941</x:v>
      </x:c>
      <x:c r="C128" t="n">
        <x:v>43.5</x:v>
      </x:c>
      <x:c r="D128" t="n">
        <x:v>110.6</x:v>
      </x:c>
      <x:c r="E128" t="n">
        <x:v>252.1</x:v>
      </x:c>
    </x:row>
    <x:row r="129">
      <x:c r="A129" t="str">
        <x:v>Union Oil</x:v>
      </x:c>
      <x:c r="B129" t="n">
        <x:v>1942</x:v>
      </x:c>
      <x:c r="C129" t="n">
        <x:v>34.46</x:v>
      </x:c>
      <x:c r="D129" t="n">
        <x:v>98.1</x:v>
      </x:c>
      <x:c r="E129" t="n">
        <x:v>276.3</x:v>
      </x:c>
    </x:row>
    <x:row r="130">
      <x:c r="A130" t="str">
        <x:v>Union Oil</x:v>
      </x:c>
      <x:c r="B130" t="n">
        <x:v>1943</x:v>
      </x:c>
      <x:c r="C130" t="n">
        <x:v>44.28</x:v>
      </x:c>
      <x:c r="D130" t="n">
        <x:v>108.8</x:v>
      </x:c>
      <x:c r="E130" t="n">
        <x:v>300.3</x:v>
      </x:c>
    </x:row>
    <x:row r="131">
      <x:c r="A131" t="str">
        <x:v>Union Oil</x:v>
      </x:c>
      <x:c r="B131" t="n">
        <x:v>1944</x:v>
      </x:c>
      <x:c r="C131" t="n">
        <x:v>70.8</x:v>
      </x:c>
      <x:c r="D131" t="n">
        <x:v>118.2</x:v>
      </x:c>
      <x:c r="E131" t="n">
        <x:v>318.2</x:v>
      </x:c>
    </x:row>
    <x:row r="132">
      <x:c r="A132" t="str">
        <x:v>Union Oil</x:v>
      </x:c>
      <x:c r="B132" t="n">
        <x:v>1945</x:v>
      </x:c>
      <x:c r="C132" t="n">
        <x:v>44.12</x:v>
      </x:c>
      <x:c r="D132" t="n">
        <x:v>126.5</x:v>
      </x:c>
      <x:c r="E132" t="n">
        <x:v>336.2</x:v>
      </x:c>
    </x:row>
    <x:row r="133">
      <x:c r="A133" t="str">
        <x:v>Union Oil</x:v>
      </x:c>
      <x:c r="B133" t="n">
        <x:v>1946</x:v>
      </x:c>
      <x:c r="C133" t="n">
        <x:v>48.98</x:v>
      </x:c>
      <x:c r="D133" t="n">
        <x:v>156.7</x:v>
      </x:c>
      <x:c r="E133" t="n">
        <x:v>351.2</x:v>
      </x:c>
    </x:row>
    <x:row r="134">
      <x:c r="A134" t="str">
        <x:v>Union Oil</x:v>
      </x:c>
      <x:c r="B134" t="n">
        <x:v>1947</x:v>
      </x:c>
      <x:c r="C134" t="n">
        <x:v>48.51</x:v>
      </x:c>
      <x:c r="D134" t="n">
        <x:v>119.4</x:v>
      </x:c>
      <x:c r="E134" t="n">
        <x:v>373.6</x:v>
      </x:c>
    </x:row>
    <x:row r="135">
      <x:c r="A135" t="str">
        <x:v>Union Oil</x:v>
      </x:c>
      <x:c r="B135" t="n">
        <x:v>1948</x:v>
      </x:c>
      <x:c r="C135" t="n">
        <x:v>50</x:v>
      </x:c>
      <x:c r="D135" t="n">
        <x:v>129.1</x:v>
      </x:c>
      <x:c r="E135" t="n">
        <x:v>389.4</x:v>
      </x:c>
    </x:row>
    <x:row r="136">
      <x:c r="A136" t="str">
        <x:v>Union Oil</x:v>
      </x:c>
      <x:c r="B136" t="n">
        <x:v>1949</x:v>
      </x:c>
      <x:c r="C136" t="n">
        <x:v>50.59</x:v>
      </x:c>
      <x:c r="D136" t="n">
        <x:v>134.8</x:v>
      </x:c>
      <x:c r="E136" t="n">
        <x:v>406.7</x:v>
      </x:c>
    </x:row>
    <x:row r="137">
      <x:c r="A137" t="str">
        <x:v>Union Oil</x:v>
      </x:c>
      <x:c r="B137" t="n">
        <x:v>1950</x:v>
      </x:c>
      <x:c r="C137" t="n">
        <x:v>42.53</x:v>
      </x:c>
      <x:c r="D137" t="n">
        <x:v>140.8</x:v>
      </x:c>
      <x:c r="E137" t="n">
        <x:v>429.5</x:v>
      </x:c>
    </x:row>
    <x:row r="138">
      <x:c r="A138" t="str">
        <x:v>Union Oil</x:v>
      </x:c>
      <x:c r="B138" t="n">
        <x:v>1951</x:v>
      </x:c>
      <x:c r="C138" t="n">
        <x:v>64.77</x:v>
      </x:c>
      <x:c r="D138" t="n">
        <x:v>179</x:v>
      </x:c>
      <x:c r="E138" t="n">
        <x:v>450.6</x:v>
      </x:c>
    </x:row>
    <x:row r="139">
      <x:c r="A139" t="str">
        <x:v>Union Oil</x:v>
      </x:c>
      <x:c r="B139" t="n">
        <x:v>1952</x:v>
      </x:c>
      <x:c r="C139" t="n">
        <x:v>72.68</x:v>
      </x:c>
      <x:c r="D139" t="n">
        <x:v>178.1</x:v>
      </x:c>
      <x:c r="E139" t="n">
        <x:v>466.9</x:v>
      </x:c>
    </x:row>
    <x:row r="140">
      <x:c r="A140" t="str">
        <x:v>Union Oil</x:v>
      </x:c>
      <x:c r="B140" t="n">
        <x:v>1953</x:v>
      </x:c>
      <x:c r="C140" t="n">
        <x:v>73.86</x:v>
      </x:c>
      <x:c r="D140" t="n">
        <x:v>186.8</x:v>
      </x:c>
      <x:c r="E140" t="n">
        <x:v>486.2</x:v>
      </x:c>
    </x:row>
    <x:row r="141">
      <x:c r="A141" t="str">
        <x:v>Union Oil</x:v>
      </x:c>
      <x:c r="B141" t="n">
        <x:v>1954</x:v>
      </x:c>
      <x:c r="C141" t="n">
        <x:v>89.51</x:v>
      </x:c>
      <x:c r="D141" t="n">
        <x:v>192.7</x:v>
      </x:c>
      <x:c r="E141" t="n">
        <x:v>511.3</x:v>
      </x:c>
    </x:row>
    <x:row r="142">
      <x:c r="A142" t="str">
        <x:v>Westinghouse</x:v>
      </x:c>
      <x:c r="B142" t="n">
        <x:v>1935</x:v>
      </x:c>
      <x:c r="C142" t="n">
        <x:v>12.93</x:v>
      </x:c>
      <x:c r="D142" t="n">
        <x:v>191.5</x:v>
      </x:c>
      <x:c r="E142" t="n">
        <x:v>1.8</x:v>
      </x:c>
    </x:row>
    <x:row r="143">
      <x:c r="A143" t="str">
        <x:v>Westinghouse</x:v>
      </x:c>
      <x:c r="B143" t="n">
        <x:v>1936</x:v>
      </x:c>
      <x:c r="C143" t="n">
        <x:v>25.9</x:v>
      </x:c>
      <x:c r="D143" t="n">
        <x:v>516</x:v>
      </x:c>
      <x:c r="E143" t="n">
        <x:v>0.8</x:v>
      </x:c>
    </x:row>
    <x:row r="144">
      <x:c r="A144" t="str">
        <x:v>Westinghouse</x:v>
      </x:c>
      <x:c r="B144" t="n">
        <x:v>1937</x:v>
      </x:c>
      <x:c r="C144" t="n">
        <x:v>35.05</x:v>
      </x:c>
      <x:c r="D144" t="n">
        <x:v>729</x:v>
      </x:c>
      <x:c r="E144" t="n">
        <x:v>7.4</x:v>
      </x:c>
    </x:row>
    <x:row r="145">
      <x:c r="A145" t="str">
        <x:v>Westinghouse</x:v>
      </x:c>
      <x:c r="B145" t="n">
        <x:v>1938</x:v>
      </x:c>
      <x:c r="C145" t="n">
        <x:v>22.89</x:v>
      </x:c>
      <x:c r="D145" t="n">
        <x:v>560.4</x:v>
      </x:c>
      <x:c r="E145" t="n">
        <x:v>18.1</x:v>
      </x:c>
    </x:row>
    <x:row r="146">
      <x:c r="A146" t="str">
        <x:v>Westinghouse</x:v>
      </x:c>
      <x:c r="B146" t="n">
        <x:v>1939</x:v>
      </x:c>
      <x:c r="C146" t="n">
        <x:v>18.84</x:v>
      </x:c>
      <x:c r="D146" t="n">
        <x:v>519.9</x:v>
      </x:c>
      <x:c r="E146" t="n">
        <x:v>23.5</x:v>
      </x:c>
    </x:row>
    <x:row r="147">
      <x:c r="A147" t="str">
        <x:v>Westinghouse</x:v>
      </x:c>
      <x:c r="B147" t="n">
        <x:v>1940</x:v>
      </x:c>
      <x:c r="C147" t="n">
        <x:v>28.57</x:v>
      </x:c>
      <x:c r="D147" t="n">
        <x:v>628.5</x:v>
      </x:c>
      <x:c r="E147" t="n">
        <x:v>26.5</x:v>
      </x:c>
    </x:row>
    <x:row r="148">
      <x:c r="A148" t="str">
        <x:v>Westinghouse</x:v>
      </x:c>
      <x:c r="B148" t="n">
        <x:v>1941</x:v>
      </x:c>
      <x:c r="C148" t="n">
        <x:v>48.51</x:v>
      </x:c>
      <x:c r="D148" t="n">
        <x:v>537.1</x:v>
      </x:c>
      <x:c r="E148" t="n">
        <x:v>36.2</x:v>
      </x:c>
    </x:row>
    <x:row r="149">
      <x:c r="A149" t="str">
        <x:v>Westinghouse</x:v>
      </x:c>
      <x:c r="B149" t="n">
        <x:v>1942</x:v>
      </x:c>
      <x:c r="C149" t="n">
        <x:v>43.34</x:v>
      </x:c>
      <x:c r="D149" t="n">
        <x:v>561.2</x:v>
      </x:c>
      <x:c r="E149" t="n">
        <x:v>60.8</x:v>
      </x:c>
    </x:row>
    <x:row r="150">
      <x:c r="A150" t="str">
        <x:v>Westinghouse</x:v>
      </x:c>
      <x:c r="B150" t="n">
        <x:v>1943</x:v>
      </x:c>
      <x:c r="C150" t="n">
        <x:v>37.02</x:v>
      </x:c>
      <x:c r="D150" t="n">
        <x:v>617.2</x:v>
      </x:c>
      <x:c r="E150" t="n">
        <x:v>84.4</x:v>
      </x:c>
    </x:row>
    <x:row r="151">
      <x:c r="A151" t="str">
        <x:v>Westinghouse</x:v>
      </x:c>
      <x:c r="B151" t="n">
        <x:v>1944</x:v>
      </x:c>
      <x:c r="C151" t="n">
        <x:v>37.81</x:v>
      </x:c>
      <x:c r="D151" t="n">
        <x:v>626.7</x:v>
      </x:c>
      <x:c r="E151" t="n">
        <x:v>91.2</x:v>
      </x:c>
    </x:row>
    <x:row r="152">
      <x:c r="A152" t="str">
        <x:v>Westinghouse</x:v>
      </x:c>
      <x:c r="B152" t="n">
        <x:v>1945</x:v>
      </x:c>
      <x:c r="C152" t="n">
        <x:v>39.27</x:v>
      </x:c>
      <x:c r="D152" t="n">
        <x:v>737.2</x:v>
      </x:c>
      <x:c r="E152" t="n">
        <x:v>92.4</x:v>
      </x:c>
    </x:row>
    <x:row r="153">
      <x:c r="A153" t="str">
        <x:v>Westinghouse</x:v>
      </x:c>
      <x:c r="B153" t="n">
        <x:v>1946</x:v>
      </x:c>
      <x:c r="C153" t="n">
        <x:v>53.46</x:v>
      </x:c>
      <x:c r="D153" t="n">
        <x:v>760.5</x:v>
      </x:c>
      <x:c r="E153" t="n">
        <x:v>86</x:v>
      </x:c>
    </x:row>
    <x:row r="154">
      <x:c r="A154" t="str">
        <x:v>Westinghouse</x:v>
      </x:c>
      <x:c r="B154" t="n">
        <x:v>1947</x:v>
      </x:c>
      <x:c r="C154" t="n">
        <x:v>55.56</x:v>
      </x:c>
      <x:c r="D154" t="n">
        <x:v>581.4</x:v>
      </x:c>
      <x:c r="E154" t="n">
        <x:v>111.1</x:v>
      </x:c>
    </x:row>
    <x:row r="155">
      <x:c r="A155" t="str">
        <x:v>Westinghouse</x:v>
      </x:c>
      <x:c r="B155" t="n">
        <x:v>1948</x:v>
      </x:c>
      <x:c r="C155" t="n">
        <x:v>49.56</x:v>
      </x:c>
      <x:c r="D155" t="n">
        <x:v>662.3</x:v>
      </x:c>
      <x:c r="E155" t="n">
        <x:v>130.6</x:v>
      </x:c>
    </x:row>
    <x:row r="156">
      <x:c r="A156" t="str">
        <x:v>Westinghouse</x:v>
      </x:c>
      <x:c r="B156" t="n">
        <x:v>1949</x:v>
      </x:c>
      <x:c r="C156" t="n">
        <x:v>32.04</x:v>
      </x:c>
      <x:c r="D156" t="n">
        <x:v>583.8</x:v>
      </x:c>
      <x:c r="E156" t="n">
        <x:v>141.8</x:v>
      </x:c>
    </x:row>
    <x:row r="157">
      <x:c r="A157" t="str">
        <x:v>Westinghouse</x:v>
      </x:c>
      <x:c r="B157" t="n">
        <x:v>1950</x:v>
      </x:c>
      <x:c r="C157" t="n">
        <x:v>32.24</x:v>
      </x:c>
      <x:c r="D157" t="n">
        <x:v>635.2</x:v>
      </x:c>
      <x:c r="E157" t="n">
        <x:v>136.7</x:v>
      </x:c>
    </x:row>
    <x:row r="158">
      <x:c r="A158" t="str">
        <x:v>Westinghouse</x:v>
      </x:c>
      <x:c r="B158" t="n">
        <x:v>1951</x:v>
      </x:c>
      <x:c r="C158" t="n">
        <x:v>54.38</x:v>
      </x:c>
      <x:c r="D158" t="n">
        <x:v>723.8</x:v>
      </x:c>
      <x:c r="E158" t="n">
        <x:v>129.7</x:v>
      </x:c>
    </x:row>
    <x:row r="159">
      <x:c r="A159" t="str">
        <x:v>Westinghouse</x:v>
      </x:c>
      <x:c r="B159" t="n">
        <x:v>1952</x:v>
      </x:c>
      <x:c r="C159" t="n">
        <x:v>71.78</x:v>
      </x:c>
      <x:c r="D159" t="n">
        <x:v>864.1</x:v>
      </x:c>
      <x:c r="E159" t="n">
        <x:v>145.5</x:v>
      </x:c>
    </x:row>
    <x:row r="160">
      <x:c r="A160" t="str">
        <x:v>Westinghouse</x:v>
      </x:c>
      <x:c r="B160" t="n">
        <x:v>1953</x:v>
      </x:c>
      <x:c r="C160" t="n">
        <x:v>90.08</x:v>
      </x:c>
      <x:c r="D160" t="n">
        <x:v>1193.5</x:v>
      </x:c>
      <x:c r="E160" t="n">
        <x:v>174.8</x:v>
      </x:c>
    </x:row>
    <x:row r="161">
      <x:c r="A161" t="str">
        <x:v>Westinghouse</x:v>
      </x:c>
      <x:c r="B161" t="n">
        <x:v>1954</x:v>
      </x:c>
      <x:c r="C161" t="n">
        <x:v>68.6</x:v>
      </x:c>
      <x:c r="D161" t="n">
        <x:v>1188.9</x:v>
      </x:c>
      <x:c r="E161" t="n">
        <x:v>213.5</x:v>
      </x:c>
    </x:row>
    <x:row r="162">
      <x:c r="A162" t="str">
        <x:v>Goodyear</x:v>
      </x:c>
      <x:c r="B162" t="n">
        <x:v>1935</x:v>
      </x:c>
      <x:c r="C162" t="n">
        <x:v>26.63</x:v>
      </x:c>
      <x:c r="D162" t="n">
        <x:v>290.6</x:v>
      </x:c>
      <x:c r="E162" t="n">
        <x:v>162</x:v>
      </x:c>
    </x:row>
    <x:row r="163">
      <x:c r="A163" t="str">
        <x:v>Goodyear</x:v>
      </x:c>
      <x:c r="B163" t="n">
        <x:v>1936</x:v>
      </x:c>
      <x:c r="C163" t="n">
        <x:v>23.39</x:v>
      </x:c>
      <x:c r="D163" t="n">
        <x:v>291.1</x:v>
      </x:c>
      <x:c r="E163" t="n">
        <x:v>174</x:v>
      </x:c>
    </x:row>
    <x:row r="164">
      <x:c r="A164" t="str">
        <x:v>Goodyear</x:v>
      </x:c>
      <x:c r="B164" t="n">
        <x:v>1937</x:v>
      </x:c>
      <x:c r="C164" t="n">
        <x:v>30.65</x:v>
      </x:c>
      <x:c r="D164" t="n">
        <x:v>335</x:v>
      </x:c>
      <x:c r="E164" t="n">
        <x:v>183</x:v>
      </x:c>
    </x:row>
    <x:row r="165">
      <x:c r="A165" t="str">
        <x:v>Goodyear</x:v>
      </x:c>
      <x:c r="B165" t="n">
        <x:v>1938</x:v>
      </x:c>
      <x:c r="C165" t="n">
        <x:v>20.89</x:v>
      </x:c>
      <x:c r="D165" t="n">
        <x:v>246</x:v>
      </x:c>
      <x:c r="E165" t="n">
        <x:v>198</x:v>
      </x:c>
    </x:row>
    <x:row r="166">
      <x:c r="A166" t="str">
        <x:v>Goodyear</x:v>
      </x:c>
      <x:c r="B166" t="n">
        <x:v>1939</x:v>
      </x:c>
      <x:c r="C166" t="n">
        <x:v>28.78</x:v>
      </x:c>
      <x:c r="D166" t="n">
        <x:v>356.2</x:v>
      </x:c>
      <x:c r="E166" t="n">
        <x:v>208</x:v>
      </x:c>
    </x:row>
    <x:row r="167">
      <x:c r="A167" t="str">
        <x:v>Goodyear</x:v>
      </x:c>
      <x:c r="B167" t="n">
        <x:v>1940</x:v>
      </x:c>
      <x:c r="C167" t="n">
        <x:v>26.93</x:v>
      </x:c>
      <x:c r="D167" t="n">
        <x:v>289.8</x:v>
      </x:c>
      <x:c r="E167" t="n">
        <x:v>223</x:v>
      </x:c>
    </x:row>
    <x:row r="168">
      <x:c r="A168" t="str">
        <x:v>Goodyear</x:v>
      </x:c>
      <x:c r="B168" t="n">
        <x:v>1941</x:v>
      </x:c>
      <x:c r="C168" t="n">
        <x:v>32.08</x:v>
      </x:c>
      <x:c r="D168" t="n">
        <x:v>268.2</x:v>
      </x:c>
      <x:c r="E168" t="n">
        <x:v>234</x:v>
      </x:c>
    </x:row>
    <x:row r="169">
      <x:c r="A169" t="str">
        <x:v>Goodyear</x:v>
      </x:c>
      <x:c r="B169" t="n">
        <x:v>1942</x:v>
      </x:c>
      <x:c r="C169" t="n">
        <x:v>32.21</x:v>
      </x:c>
      <x:c r="D169" t="n">
        <x:v>213.3</x:v>
      </x:c>
      <x:c r="E169" t="n">
        <x:v>248</x:v>
      </x:c>
    </x:row>
    <x:row r="170">
      <x:c r="A170" t="str">
        <x:v>Goodyear</x:v>
      </x:c>
      <x:c r="B170" t="n">
        <x:v>1943</x:v>
      </x:c>
      <x:c r="C170" t="n">
        <x:v>35.69</x:v>
      </x:c>
      <x:c r="D170" t="n">
        <x:v>348.2</x:v>
      </x:c>
      <x:c r="E170" t="n">
        <x:v>274</x:v>
      </x:c>
    </x:row>
    <x:row r="171">
      <x:c r="A171" t="str">
        <x:v>Goodyear</x:v>
      </x:c>
      <x:c r="B171" t="n">
        <x:v>1944</x:v>
      </x:c>
      <x:c r="C171" t="n">
        <x:v>62.47</x:v>
      </x:c>
      <x:c r="D171" t="n">
        <x:v>374.2</x:v>
      </x:c>
      <x:c r="E171" t="n">
        <x:v>282</x:v>
      </x:c>
    </x:row>
    <x:row r="172">
      <x:c r="A172" t="str">
        <x:v>Goodyear</x:v>
      </x:c>
      <x:c r="B172" t="n">
        <x:v>1945</x:v>
      </x:c>
      <x:c r="C172" t="n">
        <x:v>52.32</x:v>
      </x:c>
      <x:c r="D172" t="n">
        <x:v>387.2</x:v>
      </x:c>
      <x:c r="E172" t="n">
        <x:v>316</x:v>
      </x:c>
    </x:row>
    <x:row r="173">
      <x:c r="A173" t="str">
        <x:v>Goodyear</x:v>
      </x:c>
      <x:c r="B173" t="n">
        <x:v>1946</x:v>
      </x:c>
      <x:c r="C173" t="n">
        <x:v>56.95</x:v>
      </x:c>
      <x:c r="D173" t="n">
        <x:v>347.4</x:v>
      </x:c>
      <x:c r="E173" t="n">
        <x:v>302</x:v>
      </x:c>
    </x:row>
    <x:row r="174">
      <x:c r="A174" t="str">
        <x:v>Goodyear</x:v>
      </x:c>
      <x:c r="B174" t="n">
        <x:v>1947</x:v>
      </x:c>
      <x:c r="C174" t="n">
        <x:v>54.32</x:v>
      </x:c>
      <x:c r="D174" t="n">
        <x:v>291.9</x:v>
      </x:c>
      <x:c r="E174" t="n">
        <x:v>333</x:v>
      </x:c>
    </x:row>
    <x:row r="175">
      <x:c r="A175" t="str">
        <x:v>Goodyear</x:v>
      </x:c>
      <x:c r="B175" t="n">
        <x:v>1948</x:v>
      </x:c>
      <x:c r="C175" t="n">
        <x:v>40.53</x:v>
      </x:c>
      <x:c r="D175" t="n">
        <x:v>297.2</x:v>
      </x:c>
      <x:c r="E175" t="n">
        <x:v>359</x:v>
      </x:c>
    </x:row>
    <x:row r="176">
      <x:c r="A176" t="str">
        <x:v>Goodyear</x:v>
      </x:c>
      <x:c r="B176" t="n">
        <x:v>1949</x:v>
      </x:c>
      <x:c r="C176" t="n">
        <x:v>32.54</x:v>
      </x:c>
      <x:c r="D176" t="n">
        <x:v>276.9</x:v>
      </x:c>
      <x:c r="E176" t="n">
        <x:v>370</x:v>
      </x:c>
    </x:row>
    <x:row r="177">
      <x:c r="A177" t="str">
        <x:v>Goodyear</x:v>
      </x:c>
      <x:c r="B177" t="n">
        <x:v>1950</x:v>
      </x:c>
      <x:c r="C177" t="n">
        <x:v>43.48</x:v>
      </x:c>
      <x:c r="D177" t="n">
        <x:v>274.6</x:v>
      </x:c>
      <x:c r="E177" t="n">
        <x:v>376</x:v>
      </x:c>
    </x:row>
    <x:row r="178">
      <x:c r="A178" t="str">
        <x:v>Goodyear</x:v>
      </x:c>
      <x:c r="B178" t="n">
        <x:v>1951</x:v>
      </x:c>
      <x:c r="C178" t="n">
        <x:v>56.49</x:v>
      </x:c>
      <x:c r="D178" t="n">
        <x:v>339.9</x:v>
      </x:c>
      <x:c r="E178" t="n">
        <x:v>391</x:v>
      </x:c>
    </x:row>
    <x:row r="179">
      <x:c r="A179" t="str">
        <x:v>Goodyear</x:v>
      </x:c>
      <x:c r="B179" t="n">
        <x:v>1952</x:v>
      </x:c>
      <x:c r="C179" t="n">
        <x:v>65.98</x:v>
      </x:c>
      <x:c r="D179" t="n">
        <x:v>474.8</x:v>
      </x:c>
      <x:c r="E179" t="n">
        <x:v>414</x:v>
      </x:c>
    </x:row>
    <x:row r="180">
      <x:c r="A180" t="str">
        <x:v>Goodyear</x:v>
      </x:c>
      <x:c r="B180" t="n">
        <x:v>1953</x:v>
      </x:c>
      <x:c r="C180" t="n">
        <x:v>66.11</x:v>
      </x:c>
      <x:c r="D180" t="n">
        <x:v>496</x:v>
      </x:c>
      <x:c r="E180" t="n">
        <x:v>443</x:v>
      </x:c>
    </x:row>
    <x:row r="181">
      <x:c r="A181" t="str">
        <x:v>Goodyear</x:v>
      </x:c>
      <x:c r="B181" t="n">
        <x:v>1954</x:v>
      </x:c>
      <x:c r="C181" t="n">
        <x:v>49.34</x:v>
      </x:c>
      <x:c r="D181" t="n">
        <x:v>474.5</x:v>
      </x:c>
      <x:c r="E181" t="n">
        <x:v>468</x:v>
      </x:c>
    </x:row>
    <x:row r="182">
      <x:c r="A182" t="str">
        <x:v>Diamond Match</x:v>
      </x:c>
      <x:c r="B182" t="n">
        <x:v>1935</x:v>
      </x:c>
      <x:c r="C182" t="n">
        <x:v>2.54</x:v>
      </x:c>
      <x:c r="D182" t="n">
        <x:v>70.91</x:v>
      </x:c>
      <x:c r="E182" t="n">
        <x:v>4.5</x:v>
      </x:c>
    </x:row>
    <x:row r="183">
      <x:c r="A183" t="str">
        <x:v>Diamond Match</x:v>
      </x:c>
      <x:c r="B183" t="n">
        <x:v>1936</x:v>
      </x:c>
      <x:c r="C183" t="n">
        <x:v>2</x:v>
      </x:c>
      <x:c r="D183" t="n">
        <x:v>87.94</x:v>
      </x:c>
      <x:c r="E183" t="n">
        <x:v>4.71</x:v>
      </x:c>
    </x:row>
    <x:row r="184">
      <x:c r="A184" t="str">
        <x:v>Diamond Match</x:v>
      </x:c>
      <x:c r="B184" t="n">
        <x:v>1937</x:v>
      </x:c>
      <x:c r="C184" t="n">
        <x:v>2.19</x:v>
      </x:c>
      <x:c r="D184" t="n">
        <x:v>82.2</x:v>
      </x:c>
      <x:c r="E184" t="n">
        <x:v>4.57</x:v>
      </x:c>
    </x:row>
    <x:row r="185">
      <x:c r="A185" t="str">
        <x:v>Diamond Match</x:v>
      </x:c>
      <x:c r="B185" t="n">
        <x:v>1938</x:v>
      </x:c>
      <x:c r="C185" t="n">
        <x:v>1.99</x:v>
      </x:c>
      <x:c r="D185" t="n">
        <x:v>58.72</x:v>
      </x:c>
      <x:c r="E185" t="n">
        <x:v>4.56</x:v>
      </x:c>
    </x:row>
    <x:row r="186">
      <x:c r="A186" t="str">
        <x:v>Diamond Match</x:v>
      </x:c>
      <x:c r="B186" t="n">
        <x:v>1939</x:v>
      </x:c>
      <x:c r="C186" t="n">
        <x:v>2.03</x:v>
      </x:c>
      <x:c r="D186" t="n">
        <x:v>80.54</x:v>
      </x:c>
      <x:c r="E186" t="n">
        <x:v>4.38</x:v>
      </x:c>
    </x:row>
    <x:row r="187">
      <x:c r="A187" t="str">
        <x:v>Diamond Match</x:v>
      </x:c>
      <x:c r="B187" t="n">
        <x:v>1940</x:v>
      </x:c>
      <x:c r="C187" t="n">
        <x:v>1.81</x:v>
      </x:c>
      <x:c r="D187" t="n">
        <x:v>86.47</x:v>
      </x:c>
      <x:c r="E187" t="n">
        <x:v>4.21</x:v>
      </x:c>
    </x:row>
    <x:row r="188">
      <x:c r="A188" t="str">
        <x:v>Diamond Match</x:v>
      </x:c>
      <x:c r="B188" t="n">
        <x:v>1941</x:v>
      </x:c>
      <x:c r="C188" t="n">
        <x:v>2.14</x:v>
      </x:c>
      <x:c r="D188" t="n">
        <x:v>77.68</x:v>
      </x:c>
      <x:c r="E188" t="n">
        <x:v>4.12</x:v>
      </x:c>
    </x:row>
    <x:row r="189">
      <x:c r="A189" t="str">
        <x:v>Diamond Match</x:v>
      </x:c>
      <x:c r="B189" t="n">
        <x:v>1942</x:v>
      </x:c>
      <x:c r="C189" t="n">
        <x:v>1.86</x:v>
      </x:c>
      <x:c r="D189" t="n">
        <x:v>62.16</x:v>
      </x:c>
      <x:c r="E189" t="n">
        <x:v>3.83</x:v>
      </x:c>
    </x:row>
    <x:row r="190">
      <x:c r="A190" t="str">
        <x:v>Diamond Match</x:v>
      </x:c>
      <x:c r="B190" t="n">
        <x:v>1943</x:v>
      </x:c>
      <x:c r="C190" t="n">
        <x:v>0.93</x:v>
      </x:c>
      <x:c r="D190" t="n">
        <x:v>62.24</x:v>
      </x:c>
      <x:c r="E190" t="n">
        <x:v>3.58</x:v>
      </x:c>
    </x:row>
    <x:row r="191">
      <x:c r="A191" t="str">
        <x:v>Diamond Match</x:v>
      </x:c>
      <x:c r="B191" t="n">
        <x:v>1944</x:v>
      </x:c>
      <x:c r="C191" t="n">
        <x:v>1.18</x:v>
      </x:c>
      <x:c r="D191" t="n">
        <x:v>61.82</x:v>
      </x:c>
      <x:c r="E191" t="n">
        <x:v>3.41</x:v>
      </x:c>
    </x:row>
    <x:row r="192">
      <x:c r="A192" t="str">
        <x:v>Diamond Match</x:v>
      </x:c>
      <x:c r="B192" t="n">
        <x:v>1945</x:v>
      </x:c>
      <x:c r="C192" t="n">
        <x:v>1.36</x:v>
      </x:c>
      <x:c r="D192" t="n">
        <x:v>65.85</x:v>
      </x:c>
      <x:c r="E192" t="n">
        <x:v>3.31</x:v>
      </x:c>
    </x:row>
    <x:row r="193">
      <x:c r="A193" t="str">
        <x:v>Diamond Match</x:v>
      </x:c>
      <x:c r="B193" t="n">
        <x:v>1946</x:v>
      </x:c>
      <x:c r="C193" t="n">
        <x:v>2.24</x:v>
      </x:c>
      <x:c r="D193" t="n">
        <x:v>69.54</x:v>
      </x:c>
      <x:c r="E193" t="n">
        <x:v>3.23</x:v>
      </x:c>
    </x:row>
    <x:row r="194">
      <x:c r="A194" t="str">
        <x:v>Diamond Match</x:v>
      </x:c>
      <x:c r="B194" t="n">
        <x:v>1947</x:v>
      </x:c>
      <x:c r="C194" t="n">
        <x:v>3.81</x:v>
      </x:c>
      <x:c r="D194" t="n">
        <x:v>64.97</x:v>
      </x:c>
      <x:c r="E194" t="n">
        <x:v>3.9</x:v>
      </x:c>
    </x:row>
    <x:row r="195">
      <x:c r="A195" t="str">
        <x:v>Diamond Match</x:v>
      </x:c>
      <x:c r="B195" t="n">
        <x:v>1948</x:v>
      </x:c>
      <x:c r="C195" t="n">
        <x:v>5.66</x:v>
      </x:c>
      <x:c r="D195" t="n">
        <x:v>68</x:v>
      </x:c>
      <x:c r="E195" t="n">
        <x:v>5.38</x:v>
      </x:c>
    </x:row>
    <x:row r="196">
      <x:c r="A196" t="str">
        <x:v>Diamond Match</x:v>
      </x:c>
      <x:c r="B196" t="n">
        <x:v>1949</x:v>
      </x:c>
      <x:c r="C196" t="n">
        <x:v>4.21</x:v>
      </x:c>
      <x:c r="D196" t="n">
        <x:v>71.24</x:v>
      </x:c>
      <x:c r="E196" t="n">
        <x:v>7.39</x:v>
      </x:c>
    </x:row>
    <x:row r="197">
      <x:c r="A197" t="str">
        <x:v>Diamond Match</x:v>
      </x:c>
      <x:c r="B197" t="n">
        <x:v>1950</x:v>
      </x:c>
      <x:c r="C197" t="n">
        <x:v>3.42</x:v>
      </x:c>
      <x:c r="D197" t="n">
        <x:v>69.05</x:v>
      </x:c>
      <x:c r="E197" t="n">
        <x:v>8.74</x:v>
      </x:c>
    </x:row>
    <x:row r="198">
      <x:c r="A198" t="str">
        <x:v>Diamond Match</x:v>
      </x:c>
      <x:c r="B198" t="n">
        <x:v>1951</x:v>
      </x:c>
      <x:c r="C198" t="n">
        <x:v>4.67</x:v>
      </x:c>
      <x:c r="D198" t="n">
        <x:v>83.04</x:v>
      </x:c>
      <x:c r="E198" t="n">
        <x:v>9.07</x:v>
      </x:c>
    </x:row>
    <x:row r="199">
      <x:c r="A199" t="str">
        <x:v>Diamond Match</x:v>
      </x:c>
      <x:c r="B199" t="n">
        <x:v>1952</x:v>
      </x:c>
      <x:c r="C199" t="n">
        <x:v>6</x:v>
      </x:c>
      <x:c r="D199" t="n">
        <x:v>74.42</x:v>
      </x:c>
      <x:c r="E199" t="n">
        <x:v>9.93</x:v>
      </x:c>
    </x:row>
    <x:row r="200">
      <x:c r="A200" t="str">
        <x:v>Diamond Match</x:v>
      </x:c>
      <x:c r="B200" t="n">
        <x:v>1953</x:v>
      </x:c>
      <x:c r="C200" t="n">
        <x:v>6.53</x:v>
      </x:c>
      <x:c r="D200" t="n">
        <x:v>63.51</x:v>
      </x:c>
      <x:c r="E200" t="n">
        <x:v>11.68</x:v>
      </x:c>
    </x:row>
    <x:row r="201">
      <x:c r="A201" t="str">
        <x:v>Diamond Match</x:v>
      </x:c>
      <x:c r="B201" t="n">
        <x:v>1954</x:v>
      </x:c>
      <x:c r="C201" t="n">
        <x:v>5.12</x:v>
      </x:c>
      <x:c r="D201" t="n">
        <x:v>58.12</x:v>
      </x:c>
      <x:c r="E201" t="n">
        <x:v>14.33</x:v>
      </x:c>
    </x:row>
    <x:row r="202">
      <x:c r="A202" t="str">
        <x:v>American Steel</x:v>
      </x:c>
      <x:c r="B202" t="n">
        <x:v>1935</x:v>
      </x:c>
      <x:c r="C202" t="n">
        <x:v>2.938</x:v>
      </x:c>
      <x:c r="D202" t="n">
        <x:v>30.284</x:v>
      </x:c>
      <x:c r="E202" t="n">
        <x:v>52.011</x:v>
      </x:c>
    </x:row>
    <x:row r="203">
      <x:c r="A203" t="str">
        <x:v>American Steel</x:v>
      </x:c>
      <x:c r="B203" t="n">
        <x:v>1936</x:v>
      </x:c>
      <x:c r="C203" t="n">
        <x:v>5.643</x:v>
      </x:c>
      <x:c r="D203" t="n">
        <x:v>43.909</x:v>
      </x:c>
      <x:c r="E203" t="n">
        <x:v>52.903</x:v>
      </x:c>
    </x:row>
    <x:row r="204">
      <x:c r="A204" t="str">
        <x:v>American Steel</x:v>
      </x:c>
      <x:c r="B204" t="n">
        <x:v>1937</x:v>
      </x:c>
      <x:c r="C204" t="n">
        <x:v>10.233</x:v>
      </x:c>
      <x:c r="D204" t="n">
        <x:v>107.02</x:v>
      </x:c>
      <x:c r="E204" t="n">
        <x:v>54.499</x:v>
      </x:c>
    </x:row>
    <x:row r="205">
      <x:c r="A205" t="str">
        <x:v>American Steel</x:v>
      </x:c>
      <x:c r="B205" t="n">
        <x:v>1938</x:v>
      </x:c>
      <x:c r="C205" t="n">
        <x:v>4.046</x:v>
      </x:c>
      <x:c r="D205" t="n">
        <x:v>68.306</x:v>
      </x:c>
      <x:c r="E205" t="n">
        <x:v>59.722</x:v>
      </x:c>
    </x:row>
    <x:row r="206">
      <x:c r="A206" t="str">
        <x:v>American Steel</x:v>
      </x:c>
      <x:c r="B206" t="n">
        <x:v>1939</x:v>
      </x:c>
      <x:c r="C206" t="n">
        <x:v>3.326</x:v>
      </x:c>
      <x:c r="D206" t="n">
        <x:v>84.164</x:v>
      </x:c>
      <x:c r="E206" t="n">
        <x:v>61.659</x:v>
      </x:c>
    </x:row>
    <x:row r="207">
      <x:c r="A207" t="str">
        <x:v>American Steel</x:v>
      </x:c>
      <x:c r="B207" t="n">
        <x:v>1940</x:v>
      </x:c>
      <x:c r="C207" t="n">
        <x:v>4.68</x:v>
      </x:c>
      <x:c r="D207" t="n">
        <x:v>69.157</x:v>
      </x:c>
      <x:c r="E207" t="n">
        <x:v>62.243</x:v>
      </x:c>
    </x:row>
    <x:row r="208">
      <x:c r="A208" t="str">
        <x:v>American Steel</x:v>
      </x:c>
      <x:c r="B208" t="n">
        <x:v>1941</x:v>
      </x:c>
      <x:c r="C208" t="n">
        <x:v>5.732</x:v>
      </x:c>
      <x:c r="D208" t="n">
        <x:v>60.148</x:v>
      </x:c>
      <x:c r="E208" t="n">
        <x:v>63.361</x:v>
      </x:c>
    </x:row>
    <x:row r="209">
      <x:c r="A209" t="str">
        <x:v>American Steel</x:v>
      </x:c>
      <x:c r="B209" t="n">
        <x:v>1942</x:v>
      </x:c>
      <x:c r="C209" t="n">
        <x:v>12.117</x:v>
      </x:c>
      <x:c r="D209" t="n">
        <x:v>49.332</x:v>
      </x:c>
      <x:c r="E209" t="n">
        <x:v>64.861</x:v>
      </x:c>
    </x:row>
    <x:row r="210">
      <x:c r="A210" t="str">
        <x:v>American Steel</x:v>
      </x:c>
      <x:c r="B210" t="n">
        <x:v>1943</x:v>
      </x:c>
      <x:c r="C210" t="n">
        <x:v>15.276</x:v>
      </x:c>
      <x:c r="D210" t="n">
        <x:v>75.18</x:v>
      </x:c>
      <x:c r="E210" t="n">
        <x:v>67.953</x:v>
      </x:c>
    </x:row>
    <x:row r="211">
      <x:c r="A211" t="str">
        <x:v>American Steel</x:v>
      </x:c>
      <x:c r="B211" t="n">
        <x:v>1944</x:v>
      </x:c>
      <x:c r="C211" t="n">
        <x:v>9.275</x:v>
      </x:c>
      <x:c r="D211" t="n">
        <x:v>62.05</x:v>
      </x:c>
      <x:c r="E211" t="n">
        <x:v>69.59</x:v>
      </x:c>
    </x:row>
    <x:row r="212">
      <x:c r="A212" t="str">
        <x:v>American Steel</x:v>
      </x:c>
      <x:c r="B212" t="n">
        <x:v>1945</x:v>
      </x:c>
      <x:c r="C212" t="n">
        <x:v>9.577</x:v>
      </x:c>
      <x:c r="D212" t="n">
        <x:v>59.152</x:v>
      </x:c>
      <x:c r="E212" t="n">
        <x:v>69.144</x:v>
      </x:c>
    </x:row>
    <x:row r="213">
      <x:c r="A213" t="str">
        <x:v>American Steel</x:v>
      </x:c>
      <x:c r="B213" t="n">
        <x:v>1946</x:v>
      </x:c>
      <x:c r="C213" t="n">
        <x:v>3.956</x:v>
      </x:c>
      <x:c r="D213" t="n">
        <x:v>68.424</x:v>
      </x:c>
      <x:c r="E213" t="n">
        <x:v>70.269</x:v>
      </x:c>
    </x:row>
    <x:row r="214">
      <x:c r="A214" t="str">
        <x:v>American Steel</x:v>
      </x:c>
      <x:c r="B214" t="n">
        <x:v>1947</x:v>
      </x:c>
      <x:c r="C214" t="n">
        <x:v>3.834</x:v>
      </x:c>
      <x:c r="D214" t="n">
        <x:v>48.505</x:v>
      </x:c>
      <x:c r="E214" t="n">
        <x:v>71.051</x:v>
      </x:c>
    </x:row>
    <x:row r="215">
      <x:c r="A215" t="str">
        <x:v>American Steel</x:v>
      </x:c>
      <x:c r="B215" t="n">
        <x:v>1948</x:v>
      </x:c>
      <x:c r="C215" t="n">
        <x:v>5.97</x:v>
      </x:c>
      <x:c r="D215" t="n">
        <x:v>40.507</x:v>
      </x:c>
      <x:c r="E215" t="n">
        <x:v>71.508</x:v>
      </x:c>
    </x:row>
    <x:row r="216">
      <x:c r="A216" t="str">
        <x:v>American Steel</x:v>
      </x:c>
      <x:c r="B216" t="n">
        <x:v>1949</x:v>
      </x:c>
      <x:c r="C216" t="n">
        <x:v>6.433</x:v>
      </x:c>
      <x:c r="D216" t="n">
        <x:v>39.961</x:v>
      </x:c>
      <x:c r="E216" t="n">
        <x:v>73.827</x:v>
      </x:c>
    </x:row>
    <x:row r="217">
      <x:c r="A217" t="str">
        <x:v>American Steel</x:v>
      </x:c>
      <x:c r="B217" t="n">
        <x:v>1950</x:v>
      </x:c>
      <x:c r="C217" t="n">
        <x:v>4.77</x:v>
      </x:c>
      <x:c r="D217" t="n">
        <x:v>36.494</x:v>
      </x:c>
      <x:c r="E217" t="n">
        <x:v>75.847</x:v>
      </x:c>
    </x:row>
    <x:row r="218">
      <x:c r="A218" t="str">
        <x:v>American Steel</x:v>
      </x:c>
      <x:c r="B218" t="n">
        <x:v>1951</x:v>
      </x:c>
      <x:c r="C218" t="n">
        <x:v>6.532</x:v>
      </x:c>
      <x:c r="D218" t="n">
        <x:v>46.082</x:v>
      </x:c>
      <x:c r="E218" t="n">
        <x:v>77.367</x:v>
      </x:c>
    </x:row>
    <x:row r="219">
      <x:c r="A219" t="str">
        <x:v>American Steel</x:v>
      </x:c>
      <x:c r="B219" t="n">
        <x:v>1952</x:v>
      </x:c>
      <x:c r="C219" t="n">
        <x:v>7.329</x:v>
      </x:c>
      <x:c r="D219" t="n">
        <x:v>57.616</x:v>
      </x:c>
      <x:c r="E219" t="n">
        <x:v>78.631</x:v>
      </x:c>
    </x:row>
    <x:row r="220">
      <x:c r="A220" t="str">
        <x:v>American Steel</x:v>
      </x:c>
      <x:c r="B220" t="n">
        <x:v>1953</x:v>
      </x:c>
      <x:c r="C220" t="n">
        <x:v>9.02</x:v>
      </x:c>
      <x:c r="D220" t="n">
        <x:v>57.441</x:v>
      </x:c>
      <x:c r="E220" t="n">
        <x:v>80.215</x:v>
      </x:c>
    </x:row>
    <x:row r="221">
      <x:c r="A221" t="str">
        <x:v>American Steel</x:v>
      </x:c>
      <x:c r="B221" t="n">
        <x:v>1954</x:v>
      </x:c>
      <x:c r="C221" t="n">
        <x:v>6.281</x:v>
      </x:c>
      <x:c r="D221" t="n">
        <x:v>47.165</x:v>
      </x:c>
      <x:c r="E221" t="n">
        <x:v>83.788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3" t="str">
        <x:v>Firm</x:v>
      </x:c>
      <x:c r="B1" s="3" t="str">
        <x:v>1954 baseline</x:v>
      </x:c>
      <x:c r="C1" s="3" t="str">
        <x:v>-20% shock</x:v>
      </x:c>
      <x:c r="D1" s="3" t="str">
        <x:v>-10% shock</x:v>
      </x:c>
      <x:c r="E1" s="3" t="str">
        <x:v>+10% shock</x:v>
      </x:c>
      <x:c r="F1" s="3" t="str">
        <x:v>+20% shock</x:v>
      </x:c>
    </x:row>
    <x:row r="2">
      <x:c r="A2" t="str">
        <x:v>American Steel</x:v>
      </x:c>
      <x:c r="B2" s="6" t="n">
        <x:v>6.281</x:v>
      </x:c>
      <x:c r="C2" s="6" t="n">
        <x:f>B2*0.8</x:f>
        <x:v>5.0248</x:v>
      </x:c>
      <x:c r="D2" s="6" t="n">
        <x:f>B2*0.9</x:f>
        <x:v>5.6529</x:v>
      </x:c>
      <x:c r="E2" s="6" t="n">
        <x:f>B2*1.1</x:f>
        <x:v>6.9091000000000005</x:v>
      </x:c>
      <x:c r="F2" s="6" t="n">
        <x:f>B2*1.2</x:f>
        <x:v>7.5371999999999995</x:v>
      </x:c>
    </x:row>
    <x:row r="3">
      <x:c r="A3" t="str">
        <x:v>Atlantic Refining</x:v>
      </x:c>
      <x:c r="B3" s="6" t="n">
        <x:v>81.43</x:v>
      </x:c>
      <x:c r="C3" s="6" t="n">
        <x:f>B3*0.8</x:f>
        <x:v>65.144</x:v>
      </x:c>
      <x:c r="D3" s="6" t="n">
        <x:f>B3*0.9</x:f>
        <x:v>73.287</x:v>
      </x:c>
      <x:c r="E3" s="6" t="n">
        <x:f>B3*1.1</x:f>
        <x:v>89.57300000000002</x:v>
      </x:c>
      <x:c r="F3" s="6" t="n">
        <x:f>B3*1.2</x:f>
        <x:v>97.71600000000001</x:v>
      </x:c>
    </x:row>
    <x:row r="4">
      <x:c r="A4" t="str">
        <x:v>Chrysler</x:v>
      </x:c>
      <x:c r="B4" s="6" t="n">
        <x:v>172.49</x:v>
      </x:c>
      <x:c r="C4" s="6" t="n">
        <x:f>B4*0.8</x:f>
        <x:v>137.99200000000002</x:v>
      </x:c>
      <x:c r="D4" s="6" t="n">
        <x:f>B4*0.9</x:f>
        <x:v>155.241</x:v>
      </x:c>
      <x:c r="E4" s="6" t="n">
        <x:f>B4*1.1</x:f>
        <x:v>189.73900000000003</x:v>
      </x:c>
      <x:c r="F4" s="6" t="n">
        <x:f>B4*1.2</x:f>
        <x:v>206.988</x:v>
      </x:c>
    </x:row>
    <x:row r="5">
      <x:c r="A5" t="str">
        <x:v>Diamond Match</x:v>
      </x:c>
      <x:c r="B5" s="6" t="n">
        <x:v>5.12</x:v>
      </x:c>
      <x:c r="C5" s="6" t="n">
        <x:f>B5*0.8</x:f>
        <x:v>4.096</x:v>
      </x:c>
      <x:c r="D5" s="6" t="n">
        <x:f>B5*0.9</x:f>
        <x:v>4.6080000000000005</x:v>
      </x:c>
      <x:c r="E5" s="6" t="n">
        <x:f>B5*1.1</x:f>
        <x:v>5.632000000000001</x:v>
      </x:c>
      <x:c r="F5" s="6" t="n">
        <x:f>B5*1.2</x:f>
        <x:v>6.144</x:v>
      </x:c>
    </x:row>
    <x:row r="6">
      <x:c r="A6" t="str">
        <x:v>General Electric</x:v>
      </x:c>
      <x:c r="B6" s="6" t="n">
        <x:v>189.6</x:v>
      </x:c>
      <x:c r="C6" s="6" t="n">
        <x:f>B6*0.8</x:f>
        <x:v>151.68</x:v>
      </x:c>
      <x:c r="D6" s="6" t="n">
        <x:f>B6*0.9</x:f>
        <x:v>170.64</x:v>
      </x:c>
      <x:c r="E6" s="6" t="n">
        <x:f>B6*1.1</x:f>
        <x:v>208.56</x:v>
      </x:c>
      <x:c r="F6" s="6" t="n">
        <x:f>B6*1.2</x:f>
        <x:v>227.51999999999998</x:v>
      </x:c>
    </x:row>
    <x:row r="7">
      <x:c r="A7" t="str">
        <x:v>General Motors</x:v>
      </x:c>
      <x:c r="B7" s="6" t="n">
        <x:v>1486.7</x:v>
      </x:c>
      <x:c r="C7" s="6" t="n">
        <x:f>B7*0.8</x:f>
        <x:v>1189.3600000000001</x:v>
      </x:c>
      <x:c r="D7" s="6" t="n">
        <x:f>B7*0.9</x:f>
        <x:v>1338.03</x:v>
      </x:c>
      <x:c r="E7" s="6" t="n">
        <x:f>B7*1.1</x:f>
        <x:v>1635.3700000000001</x:v>
      </x:c>
      <x:c r="F7" s="6" t="n">
        <x:f>B7*1.2</x:f>
        <x:v>1784.04</x:v>
      </x:c>
    </x:row>
    <x:row r="8">
      <x:c r="A8" t="str">
        <x:v>Goodyear</x:v>
      </x:c>
      <x:c r="B8" s="6" t="n">
        <x:v>49.34</x:v>
      </x:c>
      <x:c r="C8" s="6" t="n">
        <x:f>B8*0.8</x:f>
        <x:v>39.47200000000001</x:v>
      </x:c>
      <x:c r="D8" s="6" t="n">
        <x:f>B8*0.9</x:f>
        <x:v>44.406000000000006</x:v>
      </x:c>
      <x:c r="E8" s="6" t="n">
        <x:f>B8*1.1</x:f>
        <x:v>54.27400000000001</x:v>
      </x:c>
      <x:c r="F8" s="6" t="n">
        <x:f>B8*1.2</x:f>
        <x:v>59.208</x:v>
      </x:c>
    </x:row>
    <x:row r="9">
      <x:c r="A9" t="str">
        <x:v>IBM</x:v>
      </x:c>
      <x:c r="B9" s="6" t="n">
        <x:v>135.72</x:v>
      </x:c>
      <x:c r="C9" s="6" t="n">
        <x:f>B9*0.8</x:f>
        <x:v>108.57600000000001</x:v>
      </x:c>
      <x:c r="D9" s="6" t="n">
        <x:f>B9*0.9</x:f>
        <x:v>122.148</x:v>
      </x:c>
      <x:c r="E9" s="6" t="n">
        <x:f>B9*1.1</x:f>
        <x:v>149.292</x:v>
      </x:c>
      <x:c r="F9" s="6" t="n">
        <x:f>B9*1.2</x:f>
        <x:v>162.864</x:v>
      </x:c>
    </x:row>
    <x:row r="10">
      <x:c r="A10" t="str">
        <x:v>US Steel</x:v>
      </x:c>
      <x:c r="B10" s="6" t="n">
        <x:v>459.3</x:v>
      </x:c>
      <x:c r="C10" s="6" t="n">
        <x:f>B10*0.8</x:f>
        <x:v>367.44000000000005</x:v>
      </x:c>
      <x:c r="D10" s="6" t="n">
        <x:f>B10*0.9</x:f>
        <x:v>413.37</x:v>
      </x:c>
      <x:c r="E10" s="6" t="n">
        <x:f>B10*1.1</x:f>
        <x:v>505.2300000000001</x:v>
      </x:c>
      <x:c r="F10" s="6" t="n">
        <x:f>B10*1.2</x:f>
        <x:v>551.16</x:v>
      </x:c>
    </x:row>
    <x:row r="11">
      <x:c r="A11" t="str">
        <x:v>Union Oil</x:v>
      </x:c>
      <x:c r="B11" s="6" t="n">
        <x:v>89.51</x:v>
      </x:c>
      <x:c r="C11" s="6" t="n">
        <x:f>B11*0.8</x:f>
        <x:v>71.608</x:v>
      </x:c>
      <x:c r="D11" s="6" t="n">
        <x:f>B11*0.9</x:f>
        <x:v>80.55900000000001</x:v>
      </x:c>
      <x:c r="E11" s="6" t="n">
        <x:f>B11*1.1</x:f>
        <x:v>98.46100000000001</x:v>
      </x:c>
      <x:c r="F11" s="6" t="n">
        <x:f>B11*1.2</x:f>
        <x:v>107.412</x:v>
      </x:c>
    </x:row>
    <x:row r="12">
      <x:c r="A12" t="str">
        <x:v>Westinghouse</x:v>
      </x:c>
      <x:c r="B12" s="6" t="n">
        <x:v>68.6</x:v>
      </x:c>
      <x:c r="C12" s="6" t="n">
        <x:f>B12*0.8</x:f>
        <x:v>54.879999999999995</x:v>
      </x:c>
      <x:c r="D12" s="6" t="n">
        <x:f>B12*0.9</x:f>
        <x:v>61.739999999999995</x:v>
      </x:c>
      <x:c r="E12" s="6" t="n">
        <x:f>B12*1.1</x:f>
        <x:v>75.46</x:v>
      </x:c>
      <x:c r="F12" s="6" t="n">
        <x:f>B12*1.2</x:f>
        <x:v>82.32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" t="str">
        <x:v>Item</x:v>
      </x:c>
      <x:c r="B1" s="3" t="str">
        <x:v>Description</x:v>
      </x:c>
    </x:row>
    <x:row r="2">
      <x:c r="A2" t="str">
        <x:v>Dataset</x:v>
      </x:c>
      <x:c r="B2" t="str">
        <x:v>Grunfeld historical corporate investment panel</x:v>
      </x:c>
    </x:row>
    <x:row r="3">
      <x:c r="A3" t="str">
        <x:v>Period</x:v>
      </x:c>
      <x:c r="B3" t="str">
        <x:v>1935–1954; scenario baseline is 1954</x:v>
      </x:c>
    </x:row>
    <x:row r="4">
      <x:c r="A4" t="str">
        <x:v>Scenarios</x:v>
      </x:c>
      <x:c r="B4" t="str">
        <x:v>Hypothetical proportional changes to investment</x:v>
      </x:c>
    </x:row>
    <x:row r="5">
      <x:c r="A5" t="str">
        <x:v>Interpretation</x:v>
      </x:c>
      <x:c r="B5" t="str">
        <x:v>Sensitivity illustration only; no causal estimate</x:v>
      </x:c>
    </x:row>
    <x:row r="6">
      <x:c r="A6" t="str">
        <x:v>Source</x:v>
      </x:c>
      <x:c r="B6" t="str">
        <x:v>https://www.statsmodels.org/stable/datasets/generated/grunfeld.html</x:v>
      </x:c>
    </x:row>
  </x:sheetData>
  <x:pageMargins left="0.7" right="0.7" top="0.75" bottom="0.75" header="0.3" footer="0.3"/>
</x:worksheet>
</file>